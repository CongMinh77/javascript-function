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Mood" state="visible" r:id="rId4"/>
    <sheet sheetId="2" name="Mood Data" state="visible" r:id="rId5"/>
    <sheet sheetId="3" name="Summary" state="visible" r:id="rId6"/>
    <sheet sheetId="4" name="Instructions" state="visible" r:id="rId7"/>
  </sheets>
  <calcPr calcId="171027"/>
</workbook>
</file>

<file path=xl/sharedStrings.xml><?xml version="1.0" encoding="utf-8"?>
<sst xmlns="http://schemas.openxmlformats.org/spreadsheetml/2006/main" count="601" uniqueCount="88">
  <si>
    <t>2026 mood</t>
  </si>
  <si>
    <t>January</t>
  </si>
  <si>
    <t>February</t>
  </si>
  <si>
    <t>March</t>
  </si>
  <si>
    <t>April</t>
  </si>
  <si>
    <t>Mood Legend</t>
  </si>
  <si>
    <t>Su</t>
  </si>
  <si>
    <t>Mo</t>
  </si>
  <si>
    <t>Tu</t>
  </si>
  <si>
    <t>We</t>
  </si>
  <si>
    <t>Th</t>
  </si>
  <si>
    <t>Fr</t>
  </si>
  <si>
    <t>Sa</t>
  </si>
  <si>
    <t>top</t>
  </si>
  <si>
    <t>Best mood</t>
  </si>
  <si>
    <t/>
  </si>
  <si>
    <t>up</t>
  </si>
  <si>
    <t>Good mood</t>
  </si>
  <si>
    <t>tranquil</t>
  </si>
  <si>
    <t>Calm/Neutral</t>
  </si>
  <si>
    <t>empty</t>
  </si>
  <si>
    <t>No entry</t>
  </si>
  <si>
    <t>down</t>
  </si>
  <si>
    <t>Bad mood</t>
  </si>
  <si>
    <t>Monthly Mood Statistics</t>
  </si>
  <si>
    <t>Mood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</si>
  <si>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</si>
  <si>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</si>
  <si>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</si>
  <si>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</si>
  <si>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</si>
  <si>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</si>
  <si>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</si>
  <si>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</si>
  <si>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</si>
  <si>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</si>
  <si>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</si>
  <si>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</si>
  <si>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</si>
  <si>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</si>
  <si>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</si>
  <si>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</si>
  <si>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</si>
  <si>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</si>
  <si>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</si>
  <si>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</si>
  <si>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Date</t>
  </si>
  <si>
    <t>Mood Value</t>
  </si>
  <si>
    <t>Notes</t>
  </si>
  <si>
    <t>My 2026 Mood Summary</t>
  </si>
  <si>
    <t>Month</t>
  </si>
  <si>
    <t>Top</t>
  </si>
  <si>
    <t>Up</t>
  </si>
  <si>
    <t>Tranquil</t>
  </si>
  <si>
    <t>Empty</t>
  </si>
  <si>
    <t>Down</t>
  </si>
  <si>
    <t>Total Days</t>
  </si>
  <si>
    <t>Avg Score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</si>
  <si>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</si>
  <si>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</si>
  <si>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</si>
  <si>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</si>
  <si>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</si>
  <si>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</si>
  <si>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</si>
  <si>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</si>
  <si>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</si>
  <si>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</si>
  <si>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</si>
  <si>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</t>
  </si>
  <si>
    <t>Hướng dẫn sử dụng - Mood Tracker 2026</t>
  </si>
  <si>
    <t>Cách sử dụng:</t>
  </si>
  <si>
    <t>1. Mở sheet "Mood Data" để nhập tâm trạng hàng ngày</t>
  </si>
  <si>
    <t>2. Chọn mood từ dropdown list: top, up, tranquil, empty, down</t>
  </si>
  <si>
    <t>3. Xem thống kê tại sheet "Summary"</t>
  </si>
  <si>
    <t>4. Lịch tổng quan tại sheet "2026 Mood"</t>
  </si>
  <si>
    <t>Ý nghĩa các mood:</t>
  </si>
  <si>
    <t>• top (hồng) - Tâm trạng tuyệt vời nhất</t>
  </si>
  <si>
    <t>• up (cam) - Tâm trạng tốt</t>
  </si>
  <si>
    <t>• tranquil (xanh cyan) - Bình thản, trung lập</t>
  </si>
  <si>
    <t>• empty (xám) - Không ghi nhận</t>
  </si>
  <si>
    <t>• down (xanh dương) - Tâm trạng không tốt</t>
  </si>
  <si>
    <t>Điểm số:</t>
  </si>
  <si>
    <t>• top = 5 điểm</t>
  </si>
  <si>
    <t>• up = 4 điểm</t>
  </si>
  <si>
    <t>• tranquil = 3 điểm</t>
  </si>
  <si>
    <t>• empty = 2 điểm</t>
  </si>
  <si>
    <t>• down = 1 điểm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</si>
</sst>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0" x14ac:knownFonts="1">
    <font>
      <color theme="1"/>
      <family val="2"/>
      <scheme val="minor"/>
      <sz val="11"/>
      <name val="Calibri"/>
    </font>
    <font>
      <b/>
      <color rgb="000080"/>
      <sz val="24"/>
    </font>
    <font>
      <b/>
      <color rgb="FFFFFF"/>
    </font>
    <font>
      <b/>
      <sz val="12"/>
    </font>
    <font>
      <b/>
      <sz val="8"/>
    </font>
    <font>
      <sz val="10"/>
    </font>
    <font>
      <sz val="9"/>
    </font>
    <font>
      <b/>
      <sz val="9"/>
    </font>
    <font>
      <b/>
      <color rgb="4472C4"/>
      <sz val="18"/>
    </font>
    <font>
      <b/>
    </font>
  </fonts>
  <fills count="23">
    <fill>
      <patternFill patternType="none"/>
    </fill>
    <fill>
      <patternFill patternType="gray125"/>
    </fill>
    <fill>
      <patternFill patternType="solid">
        <fgColor rgb="FFA500"/>
      </patternFill>
    </fill>
    <fill>
      <patternFill patternType="solid">
        <fgColor rgb="87CEEB"/>
      </patternFill>
    </fill>
    <fill>
      <patternFill patternType="solid">
        <fgColor rgb="90EE90"/>
      </patternFill>
    </fill>
    <fill>
      <patternFill patternType="solid">
        <fgColor rgb="FFFF00"/>
      </patternFill>
    </fill>
    <fill>
      <patternFill patternType="solid">
        <fgColor rgb="FFCCCC"/>
      </patternFill>
    </fill>
    <fill>
      <patternFill patternType="solid">
        <fgColor rgb="FFE4B5"/>
      </patternFill>
    </fill>
    <fill>
      <patternFill patternType="solid">
        <fgColor rgb="FFFACD"/>
      </patternFill>
    </fill>
    <fill>
      <patternFill patternType="solid">
        <fgColor rgb="E0FFE0"/>
      </patternFill>
    </fill>
    <fill>
      <patternFill patternType="solid">
        <fgColor rgb="E0FFFF"/>
      </patternFill>
    </fill>
    <fill>
      <patternFill patternType="solid">
        <fgColor rgb="E6E6FA"/>
      </patternFill>
    </fill>
    <fill>
      <patternFill patternType="solid">
        <fgColor rgb="FFB6C1"/>
      </patternFill>
    </fill>
    <fill>
      <patternFill patternType="solid">
        <fgColor rgb="FF00FF"/>
      </patternFill>
    </fill>
    <fill>
      <patternFill patternType="solid">
        <fgColor rgb="00FFFF"/>
      </patternFill>
    </fill>
    <fill>
      <patternFill patternType="solid">
        <fgColor rgb="C0C0C0"/>
      </patternFill>
    </fill>
    <fill>
      <patternFill patternType="solid">
        <fgColor rgb="0000FF"/>
      </patternFill>
    </fill>
    <fill>
      <patternFill patternType="solid">
        <fgColor rgb="DDDDDD"/>
      </patternFill>
    </fill>
    <fill>
      <patternFill patternType="solid">
        <fgColor rgb="FFD700"/>
      </patternFill>
    </fill>
    <fill>
      <patternFill patternType="solid">
        <fgColor rgb="98FB98"/>
      </patternFill>
    </fill>
    <fill>
      <patternFill patternType="solid">
        <fgColor rgb="F4A460"/>
      </patternFill>
    </fill>
    <fill>
      <patternFill patternType="solid">
        <fgColor rgb="DDA0DD"/>
      </patternFill>
    </fill>
    <fill>
      <patternFill patternType="solid">
        <fgColor rgb="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0" xfId="0" applyFont="1"/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0" fillId="13" borderId="1" xfId="0" applyFill="1" applyBorder="1"/>
    <xf numFmtId="0" fontId="5" fillId="0" borderId="0" xfId="0" applyFont="1"/>
    <xf numFmtId="0" fontId="6" fillId="0" borderId="2" xfId="0" applyFont="1" applyBorder="1" applyAlignment="1">
      <alignment horizontal="center"/>
    </xf>
    <xf numFmtId="0" fontId="0" fillId="2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7" fillId="1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18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2" borderId="0" xfId="0" applyFont="1" applyFill="1"/>
    <xf numFmtId="164" fontId="0" fillId="0" borderId="0" xfId="0" applyNumberFormat="1"/>
    <xf numFmtId="0" fontId="8" fillId="0" borderId="0" xfId="0" applyFont="1"/>
    <xf numFmtId="0" fontId="2" fillId="22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9"/>
  <sheetViews>
    <sheetView workbookViewId="0" showGridLines="0"/>
  </sheetViews>
  <sheetFormatPr defaultRowHeight="15" outlineLevelRow="0" outlineLevelCol="0" x14ac:dyDescent="55"/>
  <cols>
    <col min="1" max="50" width="4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42" x14ac:dyDescent="0.25">
      <c r="A3" s="2" t="s">
        <v>1</v>
      </c>
      <c r="B3" s="2"/>
      <c r="C3" s="2"/>
      <c r="D3" s="2"/>
      <c r="E3" s="2"/>
      <c r="F3" s="2"/>
      <c r="G3" s="2"/>
      <c r="J3" s="3" t="s">
        <v>2</v>
      </c>
      <c r="K3" s="3"/>
      <c r="L3" s="3"/>
      <c r="M3" s="3"/>
      <c r="N3" s="3"/>
      <c r="O3" s="3"/>
      <c r="P3" s="3"/>
      <c r="S3" s="4" t="s">
        <v>3</v>
      </c>
      <c r="T3" s="4"/>
      <c r="U3" s="4"/>
      <c r="V3" s="4"/>
      <c r="W3" s="4"/>
      <c r="X3" s="4"/>
      <c r="Y3" s="4"/>
      <c r="AB3" s="5" t="s">
        <v>4</v>
      </c>
      <c r="AC3" s="5"/>
      <c r="AD3" s="5"/>
      <c r="AE3" s="5"/>
      <c r="AF3" s="5"/>
      <c r="AG3" s="5"/>
      <c r="AH3" s="5"/>
      <c r="AN3" s="6" t="s">
        <v>5</v>
      </c>
      <c r="AO3" s="6"/>
      <c r="AP3" s="6"/>
    </row>
    <row r="4" spans="1:42" x14ac:dyDescent="0.25">
      <c r="A4" s="7" t="s">
        <v>6</v>
      </c>
      <c r="B4" s="8" t="s">
        <v>7</v>
      </c>
      <c r="C4" s="9" t="s">
        <v>8</v>
      </c>
      <c r="D4" s="10" t="s">
        <v>9</v>
      </c>
      <c r="E4" s="11" t="s">
        <v>10</v>
      </c>
      <c r="F4" s="12" t="s">
        <v>11</v>
      </c>
      <c r="G4" s="13" t="s">
        <v>12</v>
      </c>
      <c r="J4" s="7" t="s">
        <v>6</v>
      </c>
      <c r="K4" s="8" t="s">
        <v>7</v>
      </c>
      <c r="L4" s="9" t="s">
        <v>8</v>
      </c>
      <c r="M4" s="10" t="s">
        <v>9</v>
      </c>
      <c r="N4" s="11" t="s">
        <v>10</v>
      </c>
      <c r="O4" s="12" t="s">
        <v>11</v>
      </c>
      <c r="P4" s="13" t="s">
        <v>12</v>
      </c>
      <c r="S4" s="7" t="s">
        <v>6</v>
      </c>
      <c r="T4" s="8" t="s">
        <v>7</v>
      </c>
      <c r="U4" s="9" t="s">
        <v>8</v>
      </c>
      <c r="V4" s="10" t="s">
        <v>9</v>
      </c>
      <c r="W4" s="11" t="s">
        <v>10</v>
      </c>
      <c r="X4" s="12" t="s">
        <v>11</v>
      </c>
      <c r="Y4" s="13" t="s">
        <v>12</v>
      </c>
      <c r="AB4" s="7" t="s">
        <v>6</v>
      </c>
      <c r="AC4" s="8" t="s">
        <v>7</v>
      </c>
      <c r="AD4" s="9" t="s">
        <v>8</v>
      </c>
      <c r="AE4" s="10" t="s">
        <v>9</v>
      </c>
      <c r="AF4" s="11" t="s">
        <v>10</v>
      </c>
      <c r="AG4" s="12" t="s">
        <v>11</v>
      </c>
      <c r="AH4" s="13" t="s">
        <v>12</v>
      </c>
      <c r="AN4" s="14"/>
      <c r="AO4" s="15" t="s">
        <v>13</v>
      </c>
      <c r="AP4" s="15" t="s">
        <v>14</v>
      </c>
    </row>
    <row r="5" spans="1:42" x14ac:dyDescent="0.25">
      <c r="A5" t="s">
        <v>15</v>
      </c>
      <c r="B5" t="s">
        <v>15</v>
      </c>
      <c r="C5" t="s">
        <v>15</v>
      </c>
      <c r="D5" t="s">
        <v>15</v>
      </c>
      <c r="E5" s="16">
        <v>1</v>
      </c>
      <c r="F5" s="16">
        <v>2</v>
      </c>
      <c r="G5" s="16">
        <v>3</v>
      </c>
      <c r="J5" s="16">
        <v>1</v>
      </c>
      <c r="K5" s="16">
        <v>2</v>
      </c>
      <c r="L5" s="16">
        <v>3</v>
      </c>
      <c r="M5" s="16">
        <v>4</v>
      </c>
      <c r="N5" s="16">
        <v>5</v>
      </c>
      <c r="O5" s="16">
        <v>6</v>
      </c>
      <c r="P5" s="16">
        <v>7</v>
      </c>
      <c r="S5" s="16">
        <v>1</v>
      </c>
      <c r="T5" s="16">
        <v>2</v>
      </c>
      <c r="U5" s="16">
        <v>3</v>
      </c>
      <c r="V5" s="16">
        <v>4</v>
      </c>
      <c r="W5" s="16">
        <v>5</v>
      </c>
      <c r="X5" s="16">
        <v>6</v>
      </c>
      <c r="Y5" s="16">
        <v>7</v>
      </c>
      <c r="AB5" t="s">
        <v>15</v>
      </c>
      <c r="AC5" t="s">
        <v>15</v>
      </c>
      <c r="AD5" t="s">
        <v>15</v>
      </c>
      <c r="AE5" s="16">
        <v>1</v>
      </c>
      <c r="AF5" s="16">
        <v>2</v>
      </c>
      <c r="AG5" s="16">
        <v>3</v>
      </c>
      <c r="AH5" s="16">
        <v>4</v>
      </c>
      <c r="AN5" s="17"/>
      <c r="AO5" s="15" t="s">
        <v>16</v>
      </c>
      <c r="AP5" s="15" t="s">
        <v>17</v>
      </c>
    </row>
    <row r="6" spans="1:42" x14ac:dyDescent="0.25">
      <c r="A6" s="16">
        <v>4</v>
      </c>
      <c r="B6" s="16">
        <v>5</v>
      </c>
      <c r="C6" s="16">
        <v>6</v>
      </c>
      <c r="D6" s="16">
        <v>7</v>
      </c>
      <c r="E6" s="16">
        <v>8</v>
      </c>
      <c r="F6" s="16">
        <v>9</v>
      </c>
      <c r="G6" s="16">
        <v>10</v>
      </c>
      <c r="J6" s="16">
        <v>8</v>
      </c>
      <c r="K6" s="16">
        <v>9</v>
      </c>
      <c r="L6" s="16">
        <v>10</v>
      </c>
      <c r="M6" s="16">
        <v>11</v>
      </c>
      <c r="N6" s="16">
        <v>12</v>
      </c>
      <c r="O6" s="16">
        <v>13</v>
      </c>
      <c r="P6" s="16">
        <v>14</v>
      </c>
      <c r="S6" s="16">
        <v>8</v>
      </c>
      <c r="T6" s="16">
        <v>9</v>
      </c>
      <c r="U6" s="16">
        <v>10</v>
      </c>
      <c r="V6" s="16">
        <v>11</v>
      </c>
      <c r="W6" s="16">
        <v>12</v>
      </c>
      <c r="X6" s="16">
        <v>13</v>
      </c>
      <c r="Y6" s="16">
        <v>14</v>
      </c>
      <c r="AB6" s="16">
        <v>5</v>
      </c>
      <c r="AC6" s="16">
        <v>6</v>
      </c>
      <c r="AD6" s="16">
        <v>7</v>
      </c>
      <c r="AE6" s="16">
        <v>8</v>
      </c>
      <c r="AF6" s="16">
        <v>9</v>
      </c>
      <c r="AG6" s="16">
        <v>10</v>
      </c>
      <c r="AH6" s="16">
        <v>11</v>
      </c>
      <c r="AN6" s="18"/>
      <c r="AO6" s="15" t="s">
        <v>18</v>
      </c>
      <c r="AP6" s="15" t="s">
        <v>19</v>
      </c>
    </row>
    <row r="7" spans="1:42" x14ac:dyDescent="0.25">
      <c r="A7" s="16">
        <v>11</v>
      </c>
      <c r="B7" s="16">
        <v>12</v>
      </c>
      <c r="C7" s="16">
        <v>13</v>
      </c>
      <c r="D7" s="16">
        <v>14</v>
      </c>
      <c r="E7" s="16">
        <v>15</v>
      </c>
      <c r="F7" s="16">
        <v>16</v>
      </c>
      <c r="G7" s="16">
        <v>17</v>
      </c>
      <c r="J7" s="16">
        <v>15</v>
      </c>
      <c r="K7" s="16">
        <v>16</v>
      </c>
      <c r="L7" s="16">
        <v>17</v>
      </c>
      <c r="M7" s="16">
        <v>18</v>
      </c>
      <c r="N7" s="16">
        <v>19</v>
      </c>
      <c r="O7" s="16">
        <v>20</v>
      </c>
      <c r="P7" s="16">
        <v>21</v>
      </c>
      <c r="S7" s="16">
        <v>15</v>
      </c>
      <c r="T7" s="16">
        <v>16</v>
      </c>
      <c r="U7" s="16">
        <v>17</v>
      </c>
      <c r="V7" s="16">
        <v>18</v>
      </c>
      <c r="W7" s="16">
        <v>19</v>
      </c>
      <c r="X7" s="16">
        <v>20</v>
      </c>
      <c r="Y7" s="16">
        <v>21</v>
      </c>
      <c r="AB7" s="16">
        <v>12</v>
      </c>
      <c r="AC7" s="16">
        <v>13</v>
      </c>
      <c r="AD7" s="16">
        <v>14</v>
      </c>
      <c r="AE7" s="16">
        <v>15</v>
      </c>
      <c r="AF7" s="16">
        <v>16</v>
      </c>
      <c r="AG7" s="16">
        <v>17</v>
      </c>
      <c r="AH7" s="16">
        <v>18</v>
      </c>
      <c r="AN7" s="19"/>
      <c r="AO7" s="15" t="s">
        <v>20</v>
      </c>
      <c r="AP7" s="15" t="s">
        <v>21</v>
      </c>
    </row>
    <row r="8" spans="1:42" x14ac:dyDescent="0.25">
      <c r="A8" s="16">
        <v>18</v>
      </c>
      <c r="B8" s="16">
        <v>19</v>
      </c>
      <c r="C8" s="16">
        <v>20</v>
      </c>
      <c r="D8" s="16">
        <v>21</v>
      </c>
      <c r="E8" s="16">
        <v>22</v>
      </c>
      <c r="F8" s="16">
        <v>23</v>
      </c>
      <c r="G8" s="16">
        <v>24</v>
      </c>
      <c r="J8" s="16">
        <v>22</v>
      </c>
      <c r="K8" s="16">
        <v>23</v>
      </c>
      <c r="L8" s="16">
        <v>24</v>
      </c>
      <c r="M8" s="16">
        <v>25</v>
      </c>
      <c r="N8" s="16">
        <v>26</v>
      </c>
      <c r="O8" s="16">
        <v>27</v>
      </c>
      <c r="P8" s="16">
        <v>28</v>
      </c>
      <c r="S8" s="16">
        <v>22</v>
      </c>
      <c r="T8" s="16">
        <v>23</v>
      </c>
      <c r="U8" s="16">
        <v>24</v>
      </c>
      <c r="V8" s="16">
        <v>25</v>
      </c>
      <c r="W8" s="16">
        <v>26</v>
      </c>
      <c r="X8" s="16">
        <v>27</v>
      </c>
      <c r="Y8" s="16">
        <v>28</v>
      </c>
      <c r="AB8" s="16">
        <v>19</v>
      </c>
      <c r="AC8" s="16">
        <v>20</v>
      </c>
      <c r="AD8" s="16">
        <v>21</v>
      </c>
      <c r="AE8" s="16">
        <v>22</v>
      </c>
      <c r="AF8" s="16">
        <v>23</v>
      </c>
      <c r="AG8" s="16">
        <v>24</v>
      </c>
      <c r="AH8" s="16">
        <v>25</v>
      </c>
      <c r="AN8" s="20"/>
      <c r="AO8" s="15" t="s">
        <v>22</v>
      </c>
      <c r="AP8" s="15" t="s">
        <v>23</v>
      </c>
    </row>
    <row r="9" spans="1:34" x14ac:dyDescent="0.25">
      <c r="A9" s="16">
        <v>25</v>
      </c>
      <c r="B9" s="16">
        <v>26</v>
      </c>
      <c r="C9" s="16">
        <v>27</v>
      </c>
      <c r="D9" s="16">
        <v>28</v>
      </c>
      <c r="E9" s="16">
        <v>29</v>
      </c>
      <c r="F9" s="16">
        <v>30</v>
      </c>
      <c r="G9" s="16">
        <v>31</v>
      </c>
      <c r="S9" s="16">
        <v>29</v>
      </c>
      <c r="T9" s="16">
        <v>30</v>
      </c>
      <c r="U9" s="16">
        <v>31</v>
      </c>
      <c r="V9" t="s">
        <v>15</v>
      </c>
      <c r="W9" t="s">
        <v>15</v>
      </c>
      <c r="X9" t="s">
        <v>15</v>
      </c>
      <c r="Y9" t="s">
        <v>15</v>
      </c>
      <c r="AB9" s="16">
        <v>26</v>
      </c>
      <c r="AC9" s="16">
        <v>27</v>
      </c>
      <c r="AD9" s="16">
        <v>28</v>
      </c>
      <c r="AE9" s="16">
        <v>29</v>
      </c>
      <c r="AF9" s="16">
        <v>30</v>
      </c>
      <c r="AG9" t="s">
        <v>15</v>
      </c>
      <c r="AH9" t="s">
        <v>15</v>
      </c>
    </row>
    <row r="10" spans="40:53" x14ac:dyDescent="0.25">
      <c r="AN10" s="6" t="s">
        <v>24</v>
      </c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40:52" x14ac:dyDescent="0.25">
      <c r="AN11" s="21" t="s">
        <v>25</v>
      </c>
      <c r="AO11" s="21" t="s">
        <v>26</v>
      </c>
      <c r="AP11" s="21" t="s">
        <v>27</v>
      </c>
      <c r="AQ11" s="21" t="s">
        <v>28</v>
      </c>
      <c r="AR11" s="21" t="s">
        <v>29</v>
      </c>
      <c r="AS11" s="21" t="s">
        <v>30</v>
      </c>
      <c r="AT11" s="21" t="s">
        <v>31</v>
      </c>
      <c r="AU11" s="21" t="s">
        <v>32</v>
      </c>
      <c r="AV11" s="21" t="s">
        <v>33</v>
      </c>
      <c r="AW11" s="21" t="s">
        <v>34</v>
      </c>
      <c r="AX11" s="21" t="s">
        <v>35</v>
      </c>
      <c r="AY11" s="21" t="s">
        <v>36</v>
      </c>
      <c r="AZ11" s="21" t="s">
        <v>37</v>
      </c>
    </row>
    <row r="12" spans="40:52" x14ac:dyDescent="0.25">
      <c r="AN12" s="14" t="s">
        <v>13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</row>
    <row r="13" spans="1:52" x14ac:dyDescent="0.25">
      <c r="A13" s="4" t="s">
        <v>38</v>
      </c>
      <c r="B13" s="4"/>
      <c r="C13" s="4"/>
      <c r="D13" s="4"/>
      <c r="E13" s="4"/>
      <c r="F13" s="4"/>
      <c r="G13" s="4"/>
      <c r="J13" s="23" t="s">
        <v>39</v>
      </c>
      <c r="K13" s="23"/>
      <c r="L13" s="23"/>
      <c r="M13" s="23"/>
      <c r="N13" s="23"/>
      <c r="O13" s="23"/>
      <c r="P13" s="23"/>
      <c r="S13" s="3" t="s">
        <v>40</v>
      </c>
      <c r="T13" s="3"/>
      <c r="U13" s="3"/>
      <c r="V13" s="3"/>
      <c r="W13" s="3"/>
      <c r="X13" s="3"/>
      <c r="Y13" s="3"/>
      <c r="AB13" s="24" t="s">
        <v>41</v>
      </c>
      <c r="AC13" s="24"/>
      <c r="AD13" s="24"/>
      <c r="AE13" s="24"/>
      <c r="AF13" s="24"/>
      <c r="AG13" s="24"/>
      <c r="AH13" s="24"/>
      <c r="AN13" s="17" t="s">
        <v>16</v>
      </c>
      <c r="AO13" s="22">
        <v>18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0</v>
      </c>
      <c r="AY13" s="22">
        <v>0</v>
      </c>
      <c r="AZ13" s="22">
        <v>0</v>
      </c>
    </row>
    <row r="14" spans="1:52" x14ac:dyDescent="0.25">
      <c r="A14" s="7" t="s">
        <v>6</v>
      </c>
      <c r="B14" s="8" t="s">
        <v>7</v>
      </c>
      <c r="C14" s="9" t="s">
        <v>8</v>
      </c>
      <c r="D14" s="10" t="s">
        <v>9</v>
      </c>
      <c r="E14" s="11" t="s">
        <v>10</v>
      </c>
      <c r="F14" s="12" t="s">
        <v>11</v>
      </c>
      <c r="G14" s="13" t="s">
        <v>12</v>
      </c>
      <c r="J14" s="7" t="s">
        <v>6</v>
      </c>
      <c r="K14" s="8" t="s">
        <v>7</v>
      </c>
      <c r="L14" s="9" t="s">
        <v>8</v>
      </c>
      <c r="M14" s="10" t="s">
        <v>9</v>
      </c>
      <c r="N14" s="11" t="s">
        <v>10</v>
      </c>
      <c r="O14" s="12" t="s">
        <v>11</v>
      </c>
      <c r="P14" s="13" t="s">
        <v>12</v>
      </c>
      <c r="S14" s="7" t="s">
        <v>6</v>
      </c>
      <c r="T14" s="8" t="s">
        <v>7</v>
      </c>
      <c r="U14" s="9" t="s">
        <v>8</v>
      </c>
      <c r="V14" s="10" t="s">
        <v>9</v>
      </c>
      <c r="W14" s="11" t="s">
        <v>10</v>
      </c>
      <c r="X14" s="12" t="s">
        <v>11</v>
      </c>
      <c r="Y14" s="13" t="s">
        <v>12</v>
      </c>
      <c r="AB14" s="7" t="s">
        <v>6</v>
      </c>
      <c r="AC14" s="8" t="s">
        <v>7</v>
      </c>
      <c r="AD14" s="9" t="s">
        <v>8</v>
      </c>
      <c r="AE14" s="10" t="s">
        <v>9</v>
      </c>
      <c r="AF14" s="11" t="s">
        <v>10</v>
      </c>
      <c r="AG14" s="12" t="s">
        <v>11</v>
      </c>
      <c r="AH14" s="13" t="s">
        <v>12</v>
      </c>
      <c r="AN14" s="18" t="s">
        <v>18</v>
      </c>
      <c r="AO14" s="22">
        <v>336</v>
      </c>
      <c r="AP14" s="22">
        <v>2</v>
      </c>
      <c r="AQ14" s="22">
        <v>1</v>
      </c>
      <c r="AR14" s="22">
        <v>0</v>
      </c>
      <c r="AS14" s="22">
        <v>1</v>
      </c>
      <c r="AT14" s="22">
        <v>0</v>
      </c>
      <c r="AU14" s="22">
        <v>0</v>
      </c>
      <c r="AV14" s="22">
        <v>0</v>
      </c>
      <c r="AW14" s="22">
        <v>1</v>
      </c>
      <c r="AX14" s="22">
        <v>0</v>
      </c>
      <c r="AY14" s="22">
        <v>0</v>
      </c>
      <c r="AZ14" s="22">
        <v>0</v>
      </c>
    </row>
    <row r="15" spans="1:52" x14ac:dyDescent="0.25">
      <c r="A15" t="s">
        <v>15</v>
      </c>
      <c r="B15" t="s">
        <v>15</v>
      </c>
      <c r="C15" t="s">
        <v>15</v>
      </c>
      <c r="D15" t="s">
        <v>15</v>
      </c>
      <c r="E15" t="s">
        <v>15</v>
      </c>
      <c r="F15" s="16">
        <v>1</v>
      </c>
      <c r="G15" s="16">
        <v>2</v>
      </c>
      <c r="J15" t="s">
        <v>15</v>
      </c>
      <c r="K15" s="16">
        <v>1</v>
      </c>
      <c r="L15" s="16">
        <v>2</v>
      </c>
      <c r="M15" s="16">
        <v>3</v>
      </c>
      <c r="N15" s="16">
        <v>4</v>
      </c>
      <c r="O15" s="16">
        <v>5</v>
      </c>
      <c r="P15" s="16">
        <v>6</v>
      </c>
      <c r="S15" t="s">
        <v>15</v>
      </c>
      <c r="T15" t="s">
        <v>15</v>
      </c>
      <c r="U15" t="s">
        <v>15</v>
      </c>
      <c r="V15" s="16">
        <v>1</v>
      </c>
      <c r="W15" s="16">
        <v>2</v>
      </c>
      <c r="X15" s="16">
        <v>3</v>
      </c>
      <c r="Y15" s="16">
        <v>4</v>
      </c>
      <c r="AB15" t="s">
        <v>15</v>
      </c>
      <c r="AC15" t="s">
        <v>15</v>
      </c>
      <c r="AD15" t="s">
        <v>15</v>
      </c>
      <c r="AE15" t="s">
        <v>15</v>
      </c>
      <c r="AF15" t="s">
        <v>15</v>
      </c>
      <c r="AG15" t="s">
        <v>15</v>
      </c>
      <c r="AH15" s="16">
        <v>1</v>
      </c>
      <c r="AN15" s="19" t="s">
        <v>20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</row>
    <row r="16" spans="1:52" x14ac:dyDescent="0.25">
      <c r="A16" s="16">
        <v>3</v>
      </c>
      <c r="B16" s="16">
        <v>4</v>
      </c>
      <c r="C16" s="16">
        <v>5</v>
      </c>
      <c r="D16" s="16">
        <v>6</v>
      </c>
      <c r="E16" s="16">
        <v>7</v>
      </c>
      <c r="F16" s="16">
        <v>8</v>
      </c>
      <c r="G16" s="16">
        <v>9</v>
      </c>
      <c r="J16" s="16">
        <v>7</v>
      </c>
      <c r="K16" s="16">
        <v>8</v>
      </c>
      <c r="L16" s="16">
        <v>9</v>
      </c>
      <c r="M16" s="16">
        <v>10</v>
      </c>
      <c r="N16" s="16">
        <v>11</v>
      </c>
      <c r="O16" s="16">
        <v>12</v>
      </c>
      <c r="P16" s="16">
        <v>13</v>
      </c>
      <c r="S16" s="16">
        <v>5</v>
      </c>
      <c r="T16" s="16">
        <v>6</v>
      </c>
      <c r="U16" s="16">
        <v>7</v>
      </c>
      <c r="V16" s="16">
        <v>8</v>
      </c>
      <c r="W16" s="16">
        <v>9</v>
      </c>
      <c r="X16" s="16">
        <v>10</v>
      </c>
      <c r="Y16" s="16">
        <v>11</v>
      </c>
      <c r="AB16" s="16">
        <v>2</v>
      </c>
      <c r="AC16" s="16">
        <v>3</v>
      </c>
      <c r="AD16" s="16">
        <v>4</v>
      </c>
      <c r="AE16" s="16">
        <v>5</v>
      </c>
      <c r="AF16" s="16">
        <v>6</v>
      </c>
      <c r="AG16" s="16">
        <v>7</v>
      </c>
      <c r="AH16" s="16">
        <v>8</v>
      </c>
      <c r="AN16" s="20" t="s">
        <v>22</v>
      </c>
      <c r="AO16" s="22">
        <v>1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0</v>
      </c>
      <c r="AY16" s="22">
        <v>0</v>
      </c>
      <c r="AZ16" s="22">
        <v>0</v>
      </c>
    </row>
    <row r="17" spans="1:34" x14ac:dyDescent="0.25">
      <c r="A17" s="16">
        <v>10</v>
      </c>
      <c r="B17" s="16">
        <v>11</v>
      </c>
      <c r="C17" s="16">
        <v>12</v>
      </c>
      <c r="D17" s="16">
        <v>13</v>
      </c>
      <c r="E17" s="16">
        <v>14</v>
      </c>
      <c r="F17" s="16">
        <v>15</v>
      </c>
      <c r="G17" s="16">
        <v>16</v>
      </c>
      <c r="J17" s="16">
        <v>14</v>
      </c>
      <c r="K17" s="16">
        <v>15</v>
      </c>
      <c r="L17" s="16">
        <v>16</v>
      </c>
      <c r="M17" s="16">
        <v>17</v>
      </c>
      <c r="N17" s="16">
        <v>18</v>
      </c>
      <c r="O17" s="16">
        <v>19</v>
      </c>
      <c r="P17" s="16">
        <v>20</v>
      </c>
      <c r="S17" s="16">
        <v>12</v>
      </c>
      <c r="T17" s="16">
        <v>13</v>
      </c>
      <c r="U17" s="16">
        <v>14</v>
      </c>
      <c r="V17" s="16">
        <v>15</v>
      </c>
      <c r="W17" s="16">
        <v>16</v>
      </c>
      <c r="X17" s="16">
        <v>17</v>
      </c>
      <c r="Y17" s="16">
        <v>18</v>
      </c>
      <c r="AB17" s="16">
        <v>9</v>
      </c>
      <c r="AC17" s="16">
        <v>10</v>
      </c>
      <c r="AD17" s="16">
        <v>11</v>
      </c>
      <c r="AE17" s="16">
        <v>12</v>
      </c>
      <c r="AF17" s="16">
        <v>13</v>
      </c>
      <c r="AG17" s="16">
        <v>14</v>
      </c>
      <c r="AH17" s="16">
        <v>15</v>
      </c>
    </row>
    <row r="18" spans="1:34" x14ac:dyDescent="0.25">
      <c r="A18" s="16">
        <v>17</v>
      </c>
      <c r="B18" s="16">
        <v>18</v>
      </c>
      <c r="C18" s="16">
        <v>19</v>
      </c>
      <c r="D18" s="16">
        <v>20</v>
      </c>
      <c r="E18" s="16">
        <v>21</v>
      </c>
      <c r="F18" s="16">
        <v>22</v>
      </c>
      <c r="G18" s="16">
        <v>23</v>
      </c>
      <c r="J18" s="16">
        <v>21</v>
      </c>
      <c r="K18" s="16">
        <v>22</v>
      </c>
      <c r="L18" s="16">
        <v>23</v>
      </c>
      <c r="M18" s="16">
        <v>24</v>
      </c>
      <c r="N18" s="16">
        <v>25</v>
      </c>
      <c r="O18" s="16">
        <v>26</v>
      </c>
      <c r="P18" s="16">
        <v>27</v>
      </c>
      <c r="S18" s="16">
        <v>19</v>
      </c>
      <c r="T18" s="16">
        <v>20</v>
      </c>
      <c r="U18" s="16">
        <v>21</v>
      </c>
      <c r="V18" s="16">
        <v>22</v>
      </c>
      <c r="W18" s="16">
        <v>23</v>
      </c>
      <c r="X18" s="16">
        <v>24</v>
      </c>
      <c r="Y18" s="16">
        <v>25</v>
      </c>
      <c r="AB18" s="16">
        <v>16</v>
      </c>
      <c r="AC18" s="16">
        <v>17</v>
      </c>
      <c r="AD18" s="16">
        <v>18</v>
      </c>
      <c r="AE18" s="16">
        <v>19</v>
      </c>
      <c r="AF18" s="16">
        <v>20</v>
      </c>
      <c r="AG18" s="16">
        <v>21</v>
      </c>
      <c r="AH18" s="16">
        <v>22</v>
      </c>
    </row>
    <row r="19" spans="1:34" x14ac:dyDescent="0.25">
      <c r="A19" s="16">
        <v>24</v>
      </c>
      <c r="B19" s="16">
        <v>25</v>
      </c>
      <c r="C19" s="16">
        <v>26</v>
      </c>
      <c r="D19" s="16">
        <v>27</v>
      </c>
      <c r="E19" s="16">
        <v>28</v>
      </c>
      <c r="F19" s="16">
        <v>29</v>
      </c>
      <c r="G19" s="16">
        <v>30</v>
      </c>
      <c r="J19" s="16">
        <v>28</v>
      </c>
      <c r="K19" s="16">
        <v>29</v>
      </c>
      <c r="L19" s="16">
        <v>30</v>
      </c>
      <c r="M19" t="s">
        <v>15</v>
      </c>
      <c r="N19" t="s">
        <v>15</v>
      </c>
      <c r="O19" t="s">
        <v>15</v>
      </c>
      <c r="P19" t="s">
        <v>15</v>
      </c>
      <c r="S19" s="16">
        <v>26</v>
      </c>
      <c r="T19" s="16">
        <v>27</v>
      </c>
      <c r="U19" s="16">
        <v>28</v>
      </c>
      <c r="V19" s="16">
        <v>29</v>
      </c>
      <c r="W19" s="16">
        <v>30</v>
      </c>
      <c r="X19" s="16">
        <v>31</v>
      </c>
      <c r="Y19" t="s">
        <v>15</v>
      </c>
      <c r="AB19" s="16">
        <v>23</v>
      </c>
      <c r="AC19" s="16">
        <v>24</v>
      </c>
      <c r="AD19" s="16">
        <v>25</v>
      </c>
      <c r="AE19" s="16">
        <v>26</v>
      </c>
      <c r="AF19" s="16">
        <v>27</v>
      </c>
      <c r="AG19" s="16">
        <v>28</v>
      </c>
      <c r="AH19" s="16">
        <v>29</v>
      </c>
    </row>
    <row r="20" spans="1:34" x14ac:dyDescent="0.25">
      <c r="A20" s="16">
        <v>31</v>
      </c>
      <c r="B20" t="s">
        <v>15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AB20" s="16">
        <v>30</v>
      </c>
      <c r="AC20" s="16">
        <v>31</v>
      </c>
      <c r="AD20" t="s">
        <v>15</v>
      </c>
      <c r="AE20" t="s">
        <v>15</v>
      </c>
      <c r="AF20" t="s">
        <v>15</v>
      </c>
      <c r="AG20" t="s">
        <v>15</v>
      </c>
      <c r="AH20" t="s">
        <v>15</v>
      </c>
    </row>
    <row r="23" spans="1:34" x14ac:dyDescent="0.25">
      <c r="A23" s="25" t="s">
        <v>42</v>
      </c>
      <c r="B23" s="25"/>
      <c r="C23" s="25"/>
      <c r="D23" s="25"/>
      <c r="E23" s="25"/>
      <c r="F23" s="25"/>
      <c r="G23" s="25"/>
      <c r="J23" s="3" t="s">
        <v>43</v>
      </c>
      <c r="K23" s="3"/>
      <c r="L23" s="3"/>
      <c r="M23" s="3"/>
      <c r="N23" s="3"/>
      <c r="O23" s="3"/>
      <c r="P23" s="3"/>
      <c r="S23" s="26" t="s">
        <v>44</v>
      </c>
      <c r="T23" s="26"/>
      <c r="U23" s="26"/>
      <c r="V23" s="26"/>
      <c r="W23" s="26"/>
      <c r="X23" s="26"/>
      <c r="Y23" s="26"/>
      <c r="AB23" s="3" t="s">
        <v>45</v>
      </c>
      <c r="AC23" s="3"/>
      <c r="AD23" s="3"/>
      <c r="AE23" s="3"/>
      <c r="AF23" s="3"/>
      <c r="AG23" s="3"/>
      <c r="AH23" s="3"/>
    </row>
    <row r="24" spans="1:34" x14ac:dyDescent="0.25">
      <c r="A24" s="7" t="s">
        <v>6</v>
      </c>
      <c r="B24" s="8" t="s">
        <v>7</v>
      </c>
      <c r="C24" s="9" t="s">
        <v>8</v>
      </c>
      <c r="D24" s="10" t="s">
        <v>9</v>
      </c>
      <c r="E24" s="11" t="s">
        <v>10</v>
      </c>
      <c r="F24" s="12" t="s">
        <v>11</v>
      </c>
      <c r="G24" s="13" t="s">
        <v>12</v>
      </c>
      <c r="J24" s="7" t="s">
        <v>6</v>
      </c>
      <c r="K24" s="8" t="s">
        <v>7</v>
      </c>
      <c r="L24" s="9" t="s">
        <v>8</v>
      </c>
      <c r="M24" s="10" t="s">
        <v>9</v>
      </c>
      <c r="N24" s="11" t="s">
        <v>10</v>
      </c>
      <c r="O24" s="12" t="s">
        <v>11</v>
      </c>
      <c r="P24" s="13" t="s">
        <v>12</v>
      </c>
      <c r="S24" s="7" t="s">
        <v>6</v>
      </c>
      <c r="T24" s="8" t="s">
        <v>7</v>
      </c>
      <c r="U24" s="9" t="s">
        <v>8</v>
      </c>
      <c r="V24" s="10" t="s">
        <v>9</v>
      </c>
      <c r="W24" s="11" t="s">
        <v>10</v>
      </c>
      <c r="X24" s="12" t="s">
        <v>11</v>
      </c>
      <c r="Y24" s="13" t="s">
        <v>12</v>
      </c>
      <c r="AB24" s="7" t="s">
        <v>6</v>
      </c>
      <c r="AC24" s="8" t="s">
        <v>7</v>
      </c>
      <c r="AD24" s="9" t="s">
        <v>8</v>
      </c>
      <c r="AE24" s="10" t="s">
        <v>9</v>
      </c>
      <c r="AF24" s="11" t="s">
        <v>10</v>
      </c>
      <c r="AG24" s="12" t="s">
        <v>11</v>
      </c>
      <c r="AH24" s="13" t="s">
        <v>12</v>
      </c>
    </row>
    <row r="25" spans="1:34" x14ac:dyDescent="0.25">
      <c r="A25" t="s">
        <v>15</v>
      </c>
      <c r="B25" t="s">
        <v>15</v>
      </c>
      <c r="C25" s="16">
        <v>1</v>
      </c>
      <c r="D25" s="16">
        <v>2</v>
      </c>
      <c r="E25" s="16">
        <v>3</v>
      </c>
      <c r="F25" s="16">
        <v>4</v>
      </c>
      <c r="G25" s="16">
        <v>5</v>
      </c>
      <c r="J25" t="s">
        <v>15</v>
      </c>
      <c r="K25" t="s">
        <v>15</v>
      </c>
      <c r="L25" t="s">
        <v>15</v>
      </c>
      <c r="M25" t="s">
        <v>15</v>
      </c>
      <c r="N25" s="16">
        <v>1</v>
      </c>
      <c r="O25" s="16">
        <v>2</v>
      </c>
      <c r="P25" s="16">
        <v>3</v>
      </c>
      <c r="S25" s="16">
        <v>1</v>
      </c>
      <c r="T25" s="16">
        <v>2</v>
      </c>
      <c r="U25" s="16">
        <v>3</v>
      </c>
      <c r="V25" s="16">
        <v>4</v>
      </c>
      <c r="W25" s="16">
        <v>5</v>
      </c>
      <c r="X25" s="16">
        <v>6</v>
      </c>
      <c r="Y25" s="16">
        <v>7</v>
      </c>
      <c r="AB25" t="s">
        <v>15</v>
      </c>
      <c r="AC25" t="s">
        <v>15</v>
      </c>
      <c r="AD25" s="16">
        <v>1</v>
      </c>
      <c r="AE25" s="16">
        <v>2</v>
      </c>
      <c r="AF25" s="16">
        <v>3</v>
      </c>
      <c r="AG25" s="16">
        <v>4</v>
      </c>
      <c r="AH25" s="16">
        <v>5</v>
      </c>
    </row>
    <row r="26" spans="1:34" x14ac:dyDescent="0.25">
      <c r="A26" s="16">
        <v>6</v>
      </c>
      <c r="B26" s="16">
        <v>7</v>
      </c>
      <c r="C26" s="16">
        <v>8</v>
      </c>
      <c r="D26" s="16">
        <v>9</v>
      </c>
      <c r="E26" s="16">
        <v>10</v>
      </c>
      <c r="F26" s="16">
        <v>11</v>
      </c>
      <c r="G26" s="16">
        <v>12</v>
      </c>
      <c r="J26" s="16">
        <v>4</v>
      </c>
      <c r="K26" s="16">
        <v>5</v>
      </c>
      <c r="L26" s="16">
        <v>6</v>
      </c>
      <c r="M26" s="16">
        <v>7</v>
      </c>
      <c r="N26" s="16">
        <v>8</v>
      </c>
      <c r="O26" s="16">
        <v>9</v>
      </c>
      <c r="P26" s="16">
        <v>10</v>
      </c>
      <c r="S26" s="16">
        <v>8</v>
      </c>
      <c r="T26" s="16">
        <v>9</v>
      </c>
      <c r="U26" s="16">
        <v>10</v>
      </c>
      <c r="V26" s="16">
        <v>11</v>
      </c>
      <c r="W26" s="16">
        <v>12</v>
      </c>
      <c r="X26" s="16">
        <v>13</v>
      </c>
      <c r="Y26" s="16">
        <v>14</v>
      </c>
      <c r="AB26" s="16">
        <v>6</v>
      </c>
      <c r="AC26" s="16">
        <v>7</v>
      </c>
      <c r="AD26" s="16">
        <v>8</v>
      </c>
      <c r="AE26" s="16">
        <v>9</v>
      </c>
      <c r="AF26" s="16">
        <v>10</v>
      </c>
      <c r="AG26" s="16">
        <v>11</v>
      </c>
      <c r="AH26" s="16">
        <v>12</v>
      </c>
    </row>
    <row r="27" spans="1:34" x14ac:dyDescent="0.25">
      <c r="A27" s="16">
        <v>13</v>
      </c>
      <c r="B27" s="16">
        <v>14</v>
      </c>
      <c r="C27" s="16">
        <v>15</v>
      </c>
      <c r="D27" s="16">
        <v>16</v>
      </c>
      <c r="E27" s="16">
        <v>17</v>
      </c>
      <c r="F27" s="16">
        <v>18</v>
      </c>
      <c r="G27" s="16">
        <v>19</v>
      </c>
      <c r="J27" s="16">
        <v>11</v>
      </c>
      <c r="K27" s="16">
        <v>12</v>
      </c>
      <c r="L27" s="16">
        <v>13</v>
      </c>
      <c r="M27" s="16">
        <v>14</v>
      </c>
      <c r="N27" s="16">
        <v>15</v>
      </c>
      <c r="O27" s="16">
        <v>16</v>
      </c>
      <c r="P27" s="16">
        <v>17</v>
      </c>
      <c r="S27" s="16">
        <v>15</v>
      </c>
      <c r="T27" s="16">
        <v>16</v>
      </c>
      <c r="U27" s="16">
        <v>17</v>
      </c>
      <c r="V27" s="16">
        <v>18</v>
      </c>
      <c r="W27" s="16">
        <v>19</v>
      </c>
      <c r="X27" s="16">
        <v>20</v>
      </c>
      <c r="Y27" s="16">
        <v>21</v>
      </c>
      <c r="AB27" s="16">
        <v>13</v>
      </c>
      <c r="AC27" s="16">
        <v>14</v>
      </c>
      <c r="AD27" s="16">
        <v>15</v>
      </c>
      <c r="AE27" s="16">
        <v>16</v>
      </c>
      <c r="AF27" s="16">
        <v>17</v>
      </c>
      <c r="AG27" s="16">
        <v>18</v>
      </c>
      <c r="AH27" s="16">
        <v>19</v>
      </c>
    </row>
    <row r="28" spans="1:34" x14ac:dyDescent="0.25">
      <c r="A28" s="16">
        <v>20</v>
      </c>
      <c r="B28" s="16">
        <v>21</v>
      </c>
      <c r="C28" s="16">
        <v>22</v>
      </c>
      <c r="D28" s="16">
        <v>23</v>
      </c>
      <c r="E28" s="16">
        <v>24</v>
      </c>
      <c r="F28" s="16">
        <v>25</v>
      </c>
      <c r="G28" s="16">
        <v>26</v>
      </c>
      <c r="J28" s="16">
        <v>18</v>
      </c>
      <c r="K28" s="16">
        <v>19</v>
      </c>
      <c r="L28" s="16">
        <v>20</v>
      </c>
      <c r="M28" s="16">
        <v>21</v>
      </c>
      <c r="N28" s="16">
        <v>22</v>
      </c>
      <c r="O28" s="16">
        <v>23</v>
      </c>
      <c r="P28" s="16">
        <v>24</v>
      </c>
      <c r="S28" s="16">
        <v>22</v>
      </c>
      <c r="T28" s="16">
        <v>23</v>
      </c>
      <c r="U28" s="16">
        <v>24</v>
      </c>
      <c r="V28" s="16">
        <v>25</v>
      </c>
      <c r="W28" s="16">
        <v>26</v>
      </c>
      <c r="X28" s="16">
        <v>27</v>
      </c>
      <c r="Y28" s="16">
        <v>28</v>
      </c>
      <c r="AB28" s="16">
        <v>20</v>
      </c>
      <c r="AC28" s="16">
        <v>21</v>
      </c>
      <c r="AD28" s="16">
        <v>22</v>
      </c>
      <c r="AE28" s="16">
        <v>23</v>
      </c>
      <c r="AF28" s="16">
        <v>24</v>
      </c>
      <c r="AG28" s="16">
        <v>25</v>
      </c>
      <c r="AH28" s="16">
        <v>26</v>
      </c>
    </row>
    <row r="29" spans="1:34" x14ac:dyDescent="0.25">
      <c r="A29" s="16">
        <v>27</v>
      </c>
      <c r="B29" s="16">
        <v>28</v>
      </c>
      <c r="C29" s="16">
        <v>29</v>
      </c>
      <c r="D29" s="16">
        <v>30</v>
      </c>
      <c r="E29" t="s">
        <v>15</v>
      </c>
      <c r="F29" t="s">
        <v>15</v>
      </c>
      <c r="G29" t="s">
        <v>15</v>
      </c>
      <c r="J29" s="16">
        <v>25</v>
      </c>
      <c r="K29" s="16">
        <v>26</v>
      </c>
      <c r="L29" s="16">
        <v>27</v>
      </c>
      <c r="M29" s="16">
        <v>28</v>
      </c>
      <c r="N29" s="16">
        <v>29</v>
      </c>
      <c r="O29" s="16">
        <v>30</v>
      </c>
      <c r="P29" s="16">
        <v>31</v>
      </c>
      <c r="S29" s="16">
        <v>29</v>
      </c>
      <c r="T29" s="16">
        <v>30</v>
      </c>
      <c r="U29" t="s">
        <v>15</v>
      </c>
      <c r="V29" t="s">
        <v>15</v>
      </c>
      <c r="W29" t="s">
        <v>15</v>
      </c>
      <c r="X29" t="s">
        <v>15</v>
      </c>
      <c r="Y29" t="s">
        <v>15</v>
      </c>
      <c r="AB29" s="16">
        <v>27</v>
      </c>
      <c r="AC29" s="16">
        <v>28</v>
      </c>
      <c r="AD29" s="16">
        <v>29</v>
      </c>
      <c r="AE29" s="16">
        <v>30</v>
      </c>
      <c r="AF29" s="16">
        <v>31</v>
      </c>
      <c r="AG29" t="s">
        <v>15</v>
      </c>
      <c r="AH29" t="s">
        <v>15</v>
      </c>
    </row>
  </sheetData>
  <mergeCells count="15">
    <mergeCell ref="A1:G1"/>
    <mergeCell ref="A3:G3"/>
    <mergeCell ref="J3:P3"/>
    <mergeCell ref="S3:Y3"/>
    <mergeCell ref="AB3:AH3"/>
    <mergeCell ref="AN3:AP3"/>
    <mergeCell ref="AN10:BA10"/>
    <mergeCell ref="A13:G13"/>
    <mergeCell ref="J13:P13"/>
    <mergeCell ref="S13:Y13"/>
    <mergeCell ref="AB13:AH13"/>
    <mergeCell ref="A23:G23"/>
    <mergeCell ref="J23:P23"/>
    <mergeCell ref="S23:Y23"/>
    <mergeCell ref="AB23:AH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workbookViewId="0"/>
  </sheetViews>
  <sheetFormatPr defaultRowHeight="15" outlineLevelRow="0" outlineLevelCol="0" x14ac:dyDescent="55"/>
  <cols>
    <col min="1" max="3" width="12" customWidth="1"/>
    <col min="4" max="4" width="30" customWidth="1"/>
  </cols>
  <sheetData>
    <row r="1" spans="1:4" x14ac:dyDescent="0.25">
      <c r="A1" s="27" t="s">
        <v>46</v>
      </c>
      <c r="B1" s="27" t="s">
        <v>25</v>
      </c>
      <c r="C1" s="27" t="s">
        <v>47</v>
      </c>
      <c r="D1" s="27" t="s">
        <v>48</v>
      </c>
    </row>
    <row r="2" spans="1:3" x14ac:dyDescent="0.25">
      <c r="A2" s="28">
        <v>46023</v>
      </c>
      <c r="B2" t="s">
        <v>18</v>
      </c>
      <c r="C2">
        <f>IF(B2="top",5,IF(B2="up",4,IF(B2="tranquil",3,IF(B2="empty",2,IF(B2="down",1,0)))))</f>
      </c>
    </row>
    <row r="3" spans="1:3" x14ac:dyDescent="0.25">
      <c r="A3" s="28">
        <v>46024</v>
      </c>
      <c r="B3" t="s">
        <v>18</v>
      </c>
      <c r="C3">
        <f>IF(B3="top",5,IF(B3="up",4,IF(B3="tranquil",3,IF(B3="empty",2,IF(B3="down",1,0)))))</f>
      </c>
    </row>
    <row r="4" spans="1:3" x14ac:dyDescent="0.25">
      <c r="A4" s="28">
        <v>46025</v>
      </c>
      <c r="B4" t="s">
        <v>18</v>
      </c>
      <c r="C4">
        <f>IF(B4="top",5,IF(B4="up",4,IF(B4="tranquil",3,IF(B4="empty",2,IF(B4="down",1,0)))))</f>
      </c>
    </row>
    <row r="5" spans="1:3" x14ac:dyDescent="0.25">
      <c r="A5" s="28">
        <v>46026</v>
      </c>
      <c r="B5" t="s">
        <v>18</v>
      </c>
      <c r="C5">
        <f>IF(B5="top",5,IF(B5="up",4,IF(B5="tranquil",3,IF(B5="empty",2,IF(B5="down",1,0)))))</f>
      </c>
    </row>
    <row r="6" spans="1:3" x14ac:dyDescent="0.25">
      <c r="A6" s="28">
        <v>46027</v>
      </c>
      <c r="B6" t="s">
        <v>18</v>
      </c>
      <c r="C6">
        <f>IF(B6="top",5,IF(B6="up",4,IF(B6="tranquil",3,IF(B6="empty",2,IF(B6="down",1,0)))))</f>
      </c>
    </row>
    <row r="7" spans="1:3" x14ac:dyDescent="0.25">
      <c r="A7" s="28">
        <v>46028</v>
      </c>
      <c r="B7" t="s">
        <v>18</v>
      </c>
      <c r="C7">
        <f>IF(B7="top",5,IF(B7="up",4,IF(B7="tranquil",3,IF(B7="empty",2,IF(B7="down",1,0)))))</f>
      </c>
    </row>
    <row r="8" spans="1:3" x14ac:dyDescent="0.25">
      <c r="A8" s="28">
        <v>46029</v>
      </c>
      <c r="B8" t="s">
        <v>18</v>
      </c>
      <c r="C8">
        <f>IF(B8="top",5,IF(B8="up",4,IF(B8="tranquil",3,IF(B8="empty",2,IF(B8="down",1,0)))))</f>
      </c>
    </row>
    <row r="9" spans="1:3" x14ac:dyDescent="0.25">
      <c r="A9" s="28">
        <v>46030</v>
      </c>
      <c r="B9" t="s">
        <v>18</v>
      </c>
      <c r="C9">
        <f>IF(B9="top",5,IF(B9="up",4,IF(B9="tranquil",3,IF(B9="empty",2,IF(B9="down",1,0)))))</f>
      </c>
    </row>
    <row r="10" spans="1:3" x14ac:dyDescent="0.25">
      <c r="A10" s="28">
        <v>46031</v>
      </c>
      <c r="B10" t="s">
        <v>18</v>
      </c>
      <c r="C10">
        <f>IF(B10="top",5,IF(B10="up",4,IF(B10="tranquil",3,IF(B10="empty",2,IF(B10="down",1,0)))))</f>
      </c>
    </row>
    <row r="11" spans="1:3" x14ac:dyDescent="0.25">
      <c r="A11" s="28">
        <v>46032</v>
      </c>
      <c r="B11" t="s">
        <v>18</v>
      </c>
      <c r="C11">
        <f>IF(B11="top",5,IF(B11="up",4,IF(B11="tranquil",3,IF(B11="empty",2,IF(B11="down",1,0)))))</f>
      </c>
    </row>
    <row r="12" spans="1:3" x14ac:dyDescent="0.25">
      <c r="A12" s="28">
        <v>46033</v>
      </c>
      <c r="B12" t="s">
        <v>18</v>
      </c>
      <c r="C12">
        <f>IF(B12="top",5,IF(B12="up",4,IF(B12="tranquil",3,IF(B12="empty",2,IF(B12="down",1,0)))))</f>
      </c>
    </row>
    <row r="13" spans="1:3" x14ac:dyDescent="0.25">
      <c r="A13" s="28">
        <v>46034</v>
      </c>
      <c r="B13" t="s">
        <v>18</v>
      </c>
      <c r="C13">
        <f>IF(B13="top",5,IF(B13="up",4,IF(B13="tranquil",3,IF(B13="empty",2,IF(B13="down",1,0)))))</f>
      </c>
    </row>
    <row r="14" spans="1:3" x14ac:dyDescent="0.25">
      <c r="A14" s="28">
        <v>46035</v>
      </c>
      <c r="B14" t="s">
        <v>18</v>
      </c>
      <c r="C14">
        <f>IF(B14="top",5,IF(B14="up",4,IF(B14="tranquil",3,IF(B14="empty",2,IF(B14="down",1,0)))))</f>
      </c>
    </row>
    <row r="15" spans="1:3" x14ac:dyDescent="0.25">
      <c r="A15" s="28">
        <v>46036</v>
      </c>
      <c r="B15" t="s">
        <v>18</v>
      </c>
      <c r="C15">
        <f>IF(B15="top",5,IF(B15="up",4,IF(B15="tranquil",3,IF(B15="empty",2,IF(B15="down",1,0)))))</f>
      </c>
    </row>
    <row r="16" spans="1:3" x14ac:dyDescent="0.25">
      <c r="A16" s="28">
        <v>46037</v>
      </c>
      <c r="B16" t="s">
        <v>18</v>
      </c>
      <c r="C16">
        <f>IF(B16="top",5,IF(B16="up",4,IF(B16="tranquil",3,IF(B16="empty",2,IF(B16="down",1,0)))))</f>
      </c>
    </row>
    <row r="17" spans="1:3" x14ac:dyDescent="0.25">
      <c r="A17" s="28">
        <v>46038</v>
      </c>
      <c r="B17" t="s">
        <v>18</v>
      </c>
      <c r="C17">
        <f>IF(B17="top",5,IF(B17="up",4,IF(B17="tranquil",3,IF(B17="empty",2,IF(B17="down",1,0)))))</f>
      </c>
    </row>
    <row r="18" spans="1:3" x14ac:dyDescent="0.25">
      <c r="A18" s="28">
        <v>46039</v>
      </c>
      <c r="B18" t="s">
        <v>18</v>
      </c>
      <c r="C18">
        <f>IF(B18="top",5,IF(B18="up",4,IF(B18="tranquil",3,IF(B18="empty",2,IF(B18="down",1,0)))))</f>
      </c>
    </row>
    <row r="19" spans="1:3" x14ac:dyDescent="0.25">
      <c r="A19" s="28">
        <v>46040</v>
      </c>
      <c r="B19" t="s">
        <v>18</v>
      </c>
      <c r="C19">
        <f>IF(B19="top",5,IF(B19="up",4,IF(B19="tranquil",3,IF(B19="empty",2,IF(B19="down",1,0)))))</f>
      </c>
    </row>
    <row r="20" spans="1:3" x14ac:dyDescent="0.25">
      <c r="A20" s="28">
        <v>46041</v>
      </c>
      <c r="B20" t="s">
        <v>18</v>
      </c>
      <c r="C20">
        <f>IF(B20="top",5,IF(B20="up",4,IF(B20="tranquil",3,IF(B20="empty",2,IF(B20="down",1,0)))))</f>
      </c>
    </row>
    <row r="21" spans="1:3" x14ac:dyDescent="0.25">
      <c r="A21" s="28">
        <v>46042</v>
      </c>
      <c r="B21" t="s">
        <v>18</v>
      </c>
      <c r="C21">
        <f>IF(B21="top",5,IF(B21="up",4,IF(B21="tranquil",3,IF(B21="empty",2,IF(B21="down",1,0)))))</f>
      </c>
    </row>
    <row r="22" spans="1:3" x14ac:dyDescent="0.25">
      <c r="A22" s="28">
        <v>46043</v>
      </c>
      <c r="B22" t="s">
        <v>18</v>
      </c>
      <c r="C22">
        <f>IF(B22="top",5,IF(B22="up",4,IF(B22="tranquil",3,IF(B22="empty",2,IF(B22="down",1,0)))))</f>
      </c>
    </row>
    <row r="23" spans="1:3" x14ac:dyDescent="0.25">
      <c r="A23" s="28">
        <v>46044</v>
      </c>
      <c r="B23" t="s">
        <v>18</v>
      </c>
      <c r="C23">
        <f>IF(B23="top",5,IF(B23="up",4,IF(B23="tranquil",3,IF(B23="empty",2,IF(B23="down",1,0)))))</f>
      </c>
    </row>
    <row r="24" spans="1:3" x14ac:dyDescent="0.25">
      <c r="A24" s="28">
        <v>46045</v>
      </c>
      <c r="B24" t="s">
        <v>18</v>
      </c>
      <c r="C24">
        <f>IF(B24="top",5,IF(B24="up",4,IF(B24="tranquil",3,IF(B24="empty",2,IF(B24="down",1,0)))))</f>
      </c>
    </row>
    <row r="25" spans="1:3" x14ac:dyDescent="0.25">
      <c r="A25" s="28">
        <v>46046</v>
      </c>
      <c r="B25" t="s">
        <v>18</v>
      </c>
      <c r="C25">
        <f>IF(B25="top",5,IF(B25="up",4,IF(B25="tranquil",3,IF(B25="empty",2,IF(B25="down",1,0)))))</f>
      </c>
    </row>
    <row r="26" spans="1:3" x14ac:dyDescent="0.25">
      <c r="A26" s="28">
        <v>46047</v>
      </c>
      <c r="B26" t="s">
        <v>18</v>
      </c>
      <c r="C26">
        <f>IF(B26="top",5,IF(B26="up",4,IF(B26="tranquil",3,IF(B26="empty",2,IF(B26="down",1,0)))))</f>
      </c>
    </row>
    <row r="27" spans="1:3" x14ac:dyDescent="0.25">
      <c r="A27" s="28">
        <v>46048</v>
      </c>
      <c r="B27" t="s">
        <v>18</v>
      </c>
      <c r="C27">
        <f>IF(B27="top",5,IF(B27="up",4,IF(B27="tranquil",3,IF(B27="empty",2,IF(B27="down",1,0)))))</f>
      </c>
    </row>
    <row r="28" spans="1:3" x14ac:dyDescent="0.25">
      <c r="A28" s="28">
        <v>46049</v>
      </c>
      <c r="B28" t="s">
        <v>18</v>
      </c>
      <c r="C28">
        <f>IF(B28="top",5,IF(B28="up",4,IF(B28="tranquil",3,IF(B28="empty",2,IF(B28="down",1,0)))))</f>
      </c>
    </row>
    <row r="29" spans="1:3" x14ac:dyDescent="0.25">
      <c r="A29" s="28">
        <v>46050</v>
      </c>
      <c r="B29" t="s">
        <v>18</v>
      </c>
      <c r="C29">
        <f>IF(B29="top",5,IF(B29="up",4,IF(B29="tranquil",3,IF(B29="empty",2,IF(B29="down",1,0)))))</f>
      </c>
    </row>
    <row r="30" spans="1:3" x14ac:dyDescent="0.25">
      <c r="A30" s="28">
        <v>46051</v>
      </c>
      <c r="B30" t="s">
        <v>18</v>
      </c>
      <c r="C30">
        <f>IF(B30="top",5,IF(B30="up",4,IF(B30="tranquil",3,IF(B30="empty",2,IF(B30="down",1,0)))))</f>
      </c>
    </row>
    <row r="31" spans="1:3" x14ac:dyDescent="0.25">
      <c r="A31" s="28">
        <v>46052</v>
      </c>
      <c r="B31" t="s">
        <v>18</v>
      </c>
      <c r="C31">
        <f>IF(B31="top",5,IF(B31="up",4,IF(B31="tranquil",3,IF(B31="empty",2,IF(B31="down",1,0)))))</f>
      </c>
    </row>
    <row r="32" spans="1:3" x14ac:dyDescent="0.25">
      <c r="A32" s="28">
        <v>46053</v>
      </c>
      <c r="B32" t="s">
        <v>18</v>
      </c>
      <c r="C32">
        <f>IF(B32="top",5,IF(B32="up",4,IF(B32="tranquil",3,IF(B32="empty",2,IF(B32="down",1,0)))))</f>
      </c>
    </row>
    <row r="33" spans="1:3" x14ac:dyDescent="0.25">
      <c r="A33" s="28">
        <v>46054</v>
      </c>
      <c r="B33" t="s">
        <v>18</v>
      </c>
      <c r="C33">
        <f>IF(B33="top",5,IF(B33="up",4,IF(B33="tranquil",3,IF(B33="empty",2,IF(B33="down",1,0)))))</f>
      </c>
    </row>
    <row r="34" spans="1:3" x14ac:dyDescent="0.25">
      <c r="A34" s="28">
        <v>46055</v>
      </c>
      <c r="B34" t="s">
        <v>18</v>
      </c>
      <c r="C34">
        <f>IF(B34="top",5,IF(B34="up",4,IF(B34="tranquil",3,IF(B34="empty",2,IF(B34="down",1,0)))))</f>
      </c>
    </row>
    <row r="35" spans="1:3" x14ac:dyDescent="0.25">
      <c r="A35" s="28">
        <v>46056</v>
      </c>
      <c r="B35" t="s">
        <v>18</v>
      </c>
      <c r="C35">
        <f>IF(B35="top",5,IF(B35="up",4,IF(B35="tranquil",3,IF(B35="empty",2,IF(B35="down",1,0)))))</f>
      </c>
    </row>
    <row r="36" spans="1:3" x14ac:dyDescent="0.25">
      <c r="A36" s="28">
        <v>46057</v>
      </c>
      <c r="B36" t="s">
        <v>18</v>
      </c>
      <c r="C36">
        <f>IF(B36="top",5,IF(B36="up",4,IF(B36="tranquil",3,IF(B36="empty",2,IF(B36="down",1,0)))))</f>
      </c>
    </row>
    <row r="37" spans="1:3" x14ac:dyDescent="0.25">
      <c r="A37" s="28">
        <v>46058</v>
      </c>
      <c r="B37" t="s">
        <v>18</v>
      </c>
      <c r="C37">
        <f>IF(B37="top",5,IF(B37="up",4,IF(B37="tranquil",3,IF(B37="empty",2,IF(B37="down",1,0)))))</f>
      </c>
    </row>
    <row r="38" spans="1:3" x14ac:dyDescent="0.25">
      <c r="A38" s="28">
        <v>46059</v>
      </c>
      <c r="B38" t="s">
        <v>18</v>
      </c>
      <c r="C38">
        <f>IF(B38="top",5,IF(B38="up",4,IF(B38="tranquil",3,IF(B38="empty",2,IF(B38="down",1,0)))))</f>
      </c>
    </row>
    <row r="39" spans="1:3" x14ac:dyDescent="0.25">
      <c r="A39" s="28">
        <v>46060</v>
      </c>
      <c r="B39" t="s">
        <v>18</v>
      </c>
      <c r="C39">
        <f>IF(B39="top",5,IF(B39="up",4,IF(B39="tranquil",3,IF(B39="empty",2,IF(B39="down",1,0)))))</f>
      </c>
    </row>
    <row r="40" spans="1:3" x14ac:dyDescent="0.25">
      <c r="A40" s="28">
        <v>46061</v>
      </c>
      <c r="B40" t="s">
        <v>18</v>
      </c>
      <c r="C40">
        <f>IF(B40="top",5,IF(B40="up",4,IF(B40="tranquil",3,IF(B40="empty",2,IF(B40="down",1,0)))))</f>
      </c>
    </row>
    <row r="41" spans="1:3" x14ac:dyDescent="0.25">
      <c r="A41" s="28">
        <v>46062</v>
      </c>
      <c r="B41" t="s">
        <v>18</v>
      </c>
      <c r="C41">
        <f>IF(B41="top",5,IF(B41="up",4,IF(B41="tranquil",3,IF(B41="empty",2,IF(B41="down",1,0)))))</f>
      </c>
    </row>
    <row r="42" spans="1:3" x14ac:dyDescent="0.25">
      <c r="A42" s="28">
        <v>46063</v>
      </c>
      <c r="B42" t="s">
        <v>18</v>
      </c>
      <c r="C42">
        <f>IF(B42="top",5,IF(B42="up",4,IF(B42="tranquil",3,IF(B42="empty",2,IF(B42="down",1,0)))))</f>
      </c>
    </row>
    <row r="43" spans="1:3" x14ac:dyDescent="0.25">
      <c r="A43" s="28">
        <v>46064</v>
      </c>
      <c r="B43" t="s">
        <v>18</v>
      </c>
      <c r="C43">
        <f>IF(B43="top",5,IF(B43="up",4,IF(B43="tranquil",3,IF(B43="empty",2,IF(B43="down",1,0)))))</f>
      </c>
    </row>
    <row r="44" spans="1:3" x14ac:dyDescent="0.25">
      <c r="A44" s="28">
        <v>46065</v>
      </c>
      <c r="B44" t="s">
        <v>18</v>
      </c>
      <c r="C44">
        <f>IF(B44="top",5,IF(B44="up",4,IF(B44="tranquil",3,IF(B44="empty",2,IF(B44="down",1,0)))))</f>
      </c>
    </row>
    <row r="45" spans="1:3" x14ac:dyDescent="0.25">
      <c r="A45" s="28">
        <v>46066</v>
      </c>
      <c r="B45" t="s">
        <v>18</v>
      </c>
      <c r="C45">
        <f>IF(B45="top",5,IF(B45="up",4,IF(B45="tranquil",3,IF(B45="empty",2,IF(B45="down",1,0)))))</f>
      </c>
    </row>
    <row r="46" spans="1:3" x14ac:dyDescent="0.25">
      <c r="A46" s="28">
        <v>46067</v>
      </c>
      <c r="B46" t="s">
        <v>18</v>
      </c>
      <c r="C46">
        <f>IF(B46="top",5,IF(B46="up",4,IF(B46="tranquil",3,IF(B46="empty",2,IF(B46="down",1,0)))))</f>
      </c>
    </row>
    <row r="47" spans="1:3" x14ac:dyDescent="0.25">
      <c r="A47" s="28">
        <v>46068</v>
      </c>
      <c r="B47" t="s">
        <v>18</v>
      </c>
      <c r="C47">
        <f>IF(B47="top",5,IF(B47="up",4,IF(B47="tranquil",3,IF(B47="empty",2,IF(B47="down",1,0)))))</f>
      </c>
    </row>
    <row r="48" spans="1:3" x14ac:dyDescent="0.25">
      <c r="A48" s="28">
        <v>46069</v>
      </c>
      <c r="B48" t="s">
        <v>18</v>
      </c>
      <c r="C48">
        <f>IF(B48="top",5,IF(B48="up",4,IF(B48="tranquil",3,IF(B48="empty",2,IF(B48="down",1,0)))))</f>
      </c>
    </row>
    <row r="49" spans="1:3" x14ac:dyDescent="0.25">
      <c r="A49" s="28">
        <v>46070</v>
      </c>
      <c r="B49" t="s">
        <v>18</v>
      </c>
      <c r="C49">
        <f>IF(B49="top",5,IF(B49="up",4,IF(B49="tranquil",3,IF(B49="empty",2,IF(B49="down",1,0)))))</f>
      </c>
    </row>
    <row r="50" spans="1:3" x14ac:dyDescent="0.25">
      <c r="A50" s="28">
        <v>46071</v>
      </c>
      <c r="B50" t="s">
        <v>18</v>
      </c>
      <c r="C50">
        <f>IF(B50="top",5,IF(B50="up",4,IF(B50="tranquil",3,IF(B50="empty",2,IF(B50="down",1,0)))))</f>
      </c>
    </row>
    <row r="51" spans="1:3" x14ac:dyDescent="0.25">
      <c r="A51" s="28">
        <v>46072</v>
      </c>
      <c r="B51" t="s">
        <v>18</v>
      </c>
      <c r="C51">
        <f>IF(B51="top",5,IF(B51="up",4,IF(B51="tranquil",3,IF(B51="empty",2,IF(B51="down",1,0)))))</f>
      </c>
    </row>
    <row r="52" spans="1:3" x14ac:dyDescent="0.25">
      <c r="A52" s="28">
        <v>46073</v>
      </c>
      <c r="B52" t="s">
        <v>18</v>
      </c>
      <c r="C52">
        <f>IF(B52="top",5,IF(B52="up",4,IF(B52="tranquil",3,IF(B52="empty",2,IF(B52="down",1,0)))))</f>
      </c>
    </row>
    <row r="53" spans="1:3" x14ac:dyDescent="0.25">
      <c r="A53" s="28">
        <v>46074</v>
      </c>
      <c r="B53" t="s">
        <v>18</v>
      </c>
      <c r="C53">
        <f>IF(B53="top",5,IF(B53="up",4,IF(B53="tranquil",3,IF(B53="empty",2,IF(B53="down",1,0)))))</f>
      </c>
    </row>
    <row r="54" spans="1:3" x14ac:dyDescent="0.25">
      <c r="A54" s="28">
        <v>46075</v>
      </c>
      <c r="B54" t="s">
        <v>18</v>
      </c>
      <c r="C54">
        <f>IF(B54="top",5,IF(B54="up",4,IF(B54="tranquil",3,IF(B54="empty",2,IF(B54="down",1,0)))))</f>
      </c>
    </row>
    <row r="55" spans="1:3" x14ac:dyDescent="0.25">
      <c r="A55" s="28">
        <v>46076</v>
      </c>
      <c r="B55" t="s">
        <v>18</v>
      </c>
      <c r="C55">
        <f>IF(B55="top",5,IF(B55="up",4,IF(B55="tranquil",3,IF(B55="empty",2,IF(B55="down",1,0)))))</f>
      </c>
    </row>
    <row r="56" spans="1:3" x14ac:dyDescent="0.25">
      <c r="A56" s="28">
        <v>46077</v>
      </c>
      <c r="B56" t="s">
        <v>18</v>
      </c>
      <c r="C56">
        <f>IF(B56="top",5,IF(B56="up",4,IF(B56="tranquil",3,IF(B56="empty",2,IF(B56="down",1,0)))))</f>
      </c>
    </row>
    <row r="57" spans="1:3" x14ac:dyDescent="0.25">
      <c r="A57" s="28">
        <v>46078</v>
      </c>
      <c r="B57" t="s">
        <v>18</v>
      </c>
      <c r="C57">
        <f>IF(B57="top",5,IF(B57="up",4,IF(B57="tranquil",3,IF(B57="empty",2,IF(B57="down",1,0)))))</f>
      </c>
    </row>
    <row r="58" spans="1:3" x14ac:dyDescent="0.25">
      <c r="A58" s="28">
        <v>46079</v>
      </c>
      <c r="B58" t="s">
        <v>18</v>
      </c>
      <c r="C58">
        <f>IF(B58="top",5,IF(B58="up",4,IF(B58="tranquil",3,IF(B58="empty",2,IF(B58="down",1,0)))))</f>
      </c>
    </row>
    <row r="59" spans="1:3" x14ac:dyDescent="0.25">
      <c r="A59" s="28">
        <v>46080</v>
      </c>
      <c r="B59" t="s">
        <v>18</v>
      </c>
      <c r="C59">
        <f>IF(B59="top",5,IF(B59="up",4,IF(B59="tranquil",3,IF(B59="empty",2,IF(B59="down",1,0)))))</f>
      </c>
    </row>
    <row r="60" spans="1:3" x14ac:dyDescent="0.25">
      <c r="A60" s="28">
        <v>46081</v>
      </c>
      <c r="B60" t="s">
        <v>18</v>
      </c>
      <c r="C60">
        <f>IF(B60="top",5,IF(B60="up",4,IF(B60="tranquil",3,IF(B60="empty",2,IF(B60="down",1,0)))))</f>
      </c>
    </row>
    <row r="61" spans="1:3" x14ac:dyDescent="0.25">
      <c r="A61" s="28">
        <v>46082</v>
      </c>
      <c r="B61" t="s">
        <v>18</v>
      </c>
      <c r="C61">
        <f>IF(B61="top",5,IF(B61="up",4,IF(B61="tranquil",3,IF(B61="empty",2,IF(B61="down",1,0)))))</f>
      </c>
    </row>
    <row r="62" spans="1:3" x14ac:dyDescent="0.25">
      <c r="A62" s="28">
        <v>46083</v>
      </c>
      <c r="B62" t="s">
        <v>18</v>
      </c>
      <c r="C62">
        <f>IF(B62="top",5,IF(B62="up",4,IF(B62="tranquil",3,IF(B62="empty",2,IF(B62="down",1,0)))))</f>
      </c>
    </row>
    <row r="63" spans="1:3" x14ac:dyDescent="0.25">
      <c r="A63" s="28">
        <v>46084</v>
      </c>
      <c r="B63" t="s">
        <v>18</v>
      </c>
      <c r="C63">
        <f>IF(B63="top",5,IF(B63="up",4,IF(B63="tranquil",3,IF(B63="empty",2,IF(B63="down",1,0)))))</f>
      </c>
    </row>
    <row r="64" spans="1:3" x14ac:dyDescent="0.25">
      <c r="A64" s="28">
        <v>46085</v>
      </c>
      <c r="B64" t="s">
        <v>18</v>
      </c>
      <c r="C64">
        <f>IF(B64="top",5,IF(B64="up",4,IF(B64="tranquil",3,IF(B64="empty",2,IF(B64="down",1,0)))))</f>
      </c>
    </row>
    <row r="65" spans="1:3" x14ac:dyDescent="0.25">
      <c r="A65" s="28">
        <v>46086</v>
      </c>
      <c r="B65" t="s">
        <v>18</v>
      </c>
      <c r="C65">
        <f>IF(B65="top",5,IF(B65="up",4,IF(B65="tranquil",3,IF(B65="empty",2,IF(B65="down",1,0)))))</f>
      </c>
    </row>
    <row r="66" spans="1:3" x14ac:dyDescent="0.25">
      <c r="A66" s="28">
        <v>46087</v>
      </c>
      <c r="B66" t="s">
        <v>18</v>
      </c>
      <c r="C66">
        <f>IF(B66="top",5,IF(B66="up",4,IF(B66="tranquil",3,IF(B66="empty",2,IF(B66="down",1,0)))))</f>
      </c>
    </row>
    <row r="67" spans="1:3" x14ac:dyDescent="0.25">
      <c r="A67" s="28">
        <v>46088</v>
      </c>
      <c r="B67" t="s">
        <v>18</v>
      </c>
      <c r="C67">
        <f>IF(B67="top",5,IF(B67="up",4,IF(B67="tranquil",3,IF(B67="empty",2,IF(B67="down",1,0)))))</f>
      </c>
    </row>
    <row r="68" spans="1:3" x14ac:dyDescent="0.25">
      <c r="A68" s="28">
        <v>46089</v>
      </c>
      <c r="B68" t="s">
        <v>18</v>
      </c>
      <c r="C68">
        <f>IF(B68="top",5,IF(B68="up",4,IF(B68="tranquil",3,IF(B68="empty",2,IF(B68="down",1,0)))))</f>
      </c>
    </row>
    <row r="69" spans="1:3" x14ac:dyDescent="0.25">
      <c r="A69" s="28">
        <v>46090</v>
      </c>
      <c r="B69" t="s">
        <v>18</v>
      </c>
      <c r="C69">
        <f>IF(B69="top",5,IF(B69="up",4,IF(B69="tranquil",3,IF(B69="empty",2,IF(B69="down",1,0)))))</f>
      </c>
    </row>
    <row r="70" spans="1:3" x14ac:dyDescent="0.25">
      <c r="A70" s="28">
        <v>46091</v>
      </c>
      <c r="B70" t="s">
        <v>18</v>
      </c>
      <c r="C70">
        <f>IF(B70="top",5,IF(B70="up",4,IF(B70="tranquil",3,IF(B70="empty",2,IF(B70="down",1,0)))))</f>
      </c>
    </row>
    <row r="71" spans="1:3" x14ac:dyDescent="0.25">
      <c r="A71" s="28">
        <v>46092</v>
      </c>
      <c r="B71" t="s">
        <v>18</v>
      </c>
      <c r="C71">
        <f>IF(B71="top",5,IF(B71="up",4,IF(B71="tranquil",3,IF(B71="empty",2,IF(B71="down",1,0)))))</f>
      </c>
    </row>
    <row r="72" spans="1:3" x14ac:dyDescent="0.25">
      <c r="A72" s="28">
        <v>46093</v>
      </c>
      <c r="B72" t="s">
        <v>18</v>
      </c>
      <c r="C72">
        <f>IF(B72="top",5,IF(B72="up",4,IF(B72="tranquil",3,IF(B72="empty",2,IF(B72="down",1,0)))))</f>
      </c>
    </row>
    <row r="73" spans="1:3" x14ac:dyDescent="0.25">
      <c r="A73" s="28">
        <v>46094</v>
      </c>
      <c r="B73" t="s">
        <v>18</v>
      </c>
      <c r="C73">
        <f>IF(B73="top",5,IF(B73="up",4,IF(B73="tranquil",3,IF(B73="empty",2,IF(B73="down",1,0)))))</f>
      </c>
    </row>
    <row r="74" spans="1:3" x14ac:dyDescent="0.25">
      <c r="A74" s="28">
        <v>46095</v>
      </c>
      <c r="B74" t="s">
        <v>18</v>
      </c>
      <c r="C74">
        <f>IF(B74="top",5,IF(B74="up",4,IF(B74="tranquil",3,IF(B74="empty",2,IF(B74="down",1,0)))))</f>
      </c>
    </row>
    <row r="75" spans="1:3" x14ac:dyDescent="0.25">
      <c r="A75" s="28">
        <v>46096</v>
      </c>
      <c r="B75" t="s">
        <v>18</v>
      </c>
      <c r="C75">
        <f>IF(B75="top",5,IF(B75="up",4,IF(B75="tranquil",3,IF(B75="empty",2,IF(B75="down",1,0)))))</f>
      </c>
    </row>
    <row r="76" spans="1:3" x14ac:dyDescent="0.25">
      <c r="A76" s="28">
        <v>46097</v>
      </c>
      <c r="B76" t="s">
        <v>18</v>
      </c>
      <c r="C76">
        <f>IF(B76="top",5,IF(B76="up",4,IF(B76="tranquil",3,IF(B76="empty",2,IF(B76="down",1,0)))))</f>
      </c>
    </row>
    <row r="77" spans="1:3" x14ac:dyDescent="0.25">
      <c r="A77" s="28">
        <v>46098</v>
      </c>
      <c r="B77" t="s">
        <v>18</v>
      </c>
      <c r="C77">
        <f>IF(B77="top",5,IF(B77="up",4,IF(B77="tranquil",3,IF(B77="empty",2,IF(B77="down",1,0)))))</f>
      </c>
    </row>
    <row r="78" spans="1:3" x14ac:dyDescent="0.25">
      <c r="A78" s="28">
        <v>46099</v>
      </c>
      <c r="B78" t="s">
        <v>18</v>
      </c>
      <c r="C78">
        <f>IF(B78="top",5,IF(B78="up",4,IF(B78="tranquil",3,IF(B78="empty",2,IF(B78="down",1,0)))))</f>
      </c>
    </row>
    <row r="79" spans="1:3" x14ac:dyDescent="0.25">
      <c r="A79" s="28">
        <v>46100</v>
      </c>
      <c r="B79" t="s">
        <v>18</v>
      </c>
      <c r="C79">
        <f>IF(B79="top",5,IF(B79="up",4,IF(B79="tranquil",3,IF(B79="empty",2,IF(B79="down",1,0)))))</f>
      </c>
    </row>
    <row r="80" spans="1:3" x14ac:dyDescent="0.25">
      <c r="A80" s="28">
        <v>46101</v>
      </c>
      <c r="B80" t="s">
        <v>18</v>
      </c>
      <c r="C80">
        <f>IF(B80="top",5,IF(B80="up",4,IF(B80="tranquil",3,IF(B80="empty",2,IF(B80="down",1,0)))))</f>
      </c>
    </row>
    <row r="81" spans="1:3" x14ac:dyDescent="0.25">
      <c r="A81" s="28">
        <v>46102</v>
      </c>
      <c r="B81" t="s">
        <v>18</v>
      </c>
      <c r="C81">
        <f>IF(B81="top",5,IF(B81="up",4,IF(B81="tranquil",3,IF(B81="empty",2,IF(B81="down",1,0)))))</f>
      </c>
    </row>
    <row r="82" spans="1:3" x14ac:dyDescent="0.25">
      <c r="A82" s="28">
        <v>46103</v>
      </c>
      <c r="B82" t="s">
        <v>18</v>
      </c>
      <c r="C82">
        <f>IF(B82="top",5,IF(B82="up",4,IF(B82="tranquil",3,IF(B82="empty",2,IF(B82="down",1,0)))))</f>
      </c>
    </row>
    <row r="83" spans="1:3" x14ac:dyDescent="0.25">
      <c r="A83" s="28">
        <v>46104</v>
      </c>
      <c r="B83" t="s">
        <v>18</v>
      </c>
      <c r="C83">
        <f>IF(B83="top",5,IF(B83="up",4,IF(B83="tranquil",3,IF(B83="empty",2,IF(B83="down",1,0)))))</f>
      </c>
    </row>
    <row r="84" spans="1:3" x14ac:dyDescent="0.25">
      <c r="A84" s="28">
        <v>46105</v>
      </c>
      <c r="B84" t="s">
        <v>18</v>
      </c>
      <c r="C84">
        <f>IF(B84="top",5,IF(B84="up",4,IF(B84="tranquil",3,IF(B84="empty",2,IF(B84="down",1,0)))))</f>
      </c>
    </row>
    <row r="85" spans="1:3" x14ac:dyDescent="0.25">
      <c r="A85" s="28">
        <v>46106</v>
      </c>
      <c r="B85" t="s">
        <v>18</v>
      </c>
      <c r="C85">
        <f>IF(B85="top",5,IF(B85="up",4,IF(B85="tranquil",3,IF(B85="empty",2,IF(B85="down",1,0)))))</f>
      </c>
    </row>
    <row r="86" spans="1:3" x14ac:dyDescent="0.25">
      <c r="A86" s="28">
        <v>46107</v>
      </c>
      <c r="B86" t="s">
        <v>18</v>
      </c>
      <c r="C86">
        <f>IF(B86="top",5,IF(B86="up",4,IF(B86="tranquil",3,IF(B86="empty",2,IF(B86="down",1,0)))))</f>
      </c>
    </row>
    <row r="87" spans="1:3" x14ac:dyDescent="0.25">
      <c r="A87" s="28">
        <v>46108</v>
      </c>
      <c r="B87" t="s">
        <v>18</v>
      </c>
      <c r="C87">
        <f>IF(B87="top",5,IF(B87="up",4,IF(B87="tranquil",3,IF(B87="empty",2,IF(B87="down",1,0)))))</f>
      </c>
    </row>
    <row r="88" spans="1:3" x14ac:dyDescent="0.25">
      <c r="A88" s="28">
        <v>46109</v>
      </c>
      <c r="B88" t="s">
        <v>18</v>
      </c>
      <c r="C88">
        <f>IF(B88="top",5,IF(B88="up",4,IF(B88="tranquil",3,IF(B88="empty",2,IF(B88="down",1,0)))))</f>
      </c>
    </row>
    <row r="89" spans="1:3" x14ac:dyDescent="0.25">
      <c r="A89" s="28">
        <v>46110</v>
      </c>
      <c r="B89" t="s">
        <v>18</v>
      </c>
      <c r="C89">
        <f>IF(B89="top",5,IF(B89="up",4,IF(B89="tranquil",3,IF(B89="empty",2,IF(B89="down",1,0)))))</f>
      </c>
    </row>
    <row r="90" spans="1:3" x14ac:dyDescent="0.25">
      <c r="A90" s="28">
        <v>46111</v>
      </c>
      <c r="B90" t="s">
        <v>18</v>
      </c>
      <c r="C90">
        <f>IF(B90="top",5,IF(B90="up",4,IF(B90="tranquil",3,IF(B90="empty",2,IF(B90="down",1,0)))))</f>
      </c>
    </row>
    <row r="91" spans="1:3" x14ac:dyDescent="0.25">
      <c r="A91" s="28">
        <v>46112</v>
      </c>
      <c r="B91" t="s">
        <v>18</v>
      </c>
      <c r="C91">
        <f>IF(B91="top",5,IF(B91="up",4,IF(B91="tranquil",3,IF(B91="empty",2,IF(B91="down",1,0)))))</f>
      </c>
    </row>
    <row r="92" spans="1:3" x14ac:dyDescent="0.25">
      <c r="A92" s="28">
        <v>46113</v>
      </c>
      <c r="B92" t="s">
        <v>18</v>
      </c>
      <c r="C92">
        <f>IF(B92="top",5,IF(B92="up",4,IF(B92="tranquil",3,IF(B92="empty",2,IF(B92="down",1,0)))))</f>
      </c>
    </row>
    <row r="93" spans="1:3" x14ac:dyDescent="0.25">
      <c r="A93" s="28">
        <v>46114</v>
      </c>
      <c r="B93" t="s">
        <v>18</v>
      </c>
      <c r="C93">
        <f>IF(B93="top",5,IF(B93="up",4,IF(B93="tranquil",3,IF(B93="empty",2,IF(B93="down",1,0)))))</f>
      </c>
    </row>
    <row r="94" spans="1:3" x14ac:dyDescent="0.25">
      <c r="A94" s="28">
        <v>46115</v>
      </c>
      <c r="B94" t="s">
        <v>18</v>
      </c>
      <c r="C94">
        <f>IF(B94="top",5,IF(B94="up",4,IF(B94="tranquil",3,IF(B94="empty",2,IF(B94="down",1,0)))))</f>
      </c>
    </row>
    <row r="95" spans="1:3" x14ac:dyDescent="0.25">
      <c r="A95" s="28">
        <v>46116</v>
      </c>
      <c r="B95" t="s">
        <v>18</v>
      </c>
      <c r="C95">
        <f>IF(B95="top",5,IF(B95="up",4,IF(B95="tranquil",3,IF(B95="empty",2,IF(B95="down",1,0)))))</f>
      </c>
    </row>
    <row r="96" spans="1:3" x14ac:dyDescent="0.25">
      <c r="A96" s="28">
        <v>46117</v>
      </c>
      <c r="B96" t="s">
        <v>18</v>
      </c>
      <c r="C96">
        <f>IF(B96="top",5,IF(B96="up",4,IF(B96="tranquil",3,IF(B96="empty",2,IF(B96="down",1,0)))))</f>
      </c>
    </row>
    <row r="97" spans="1:3" x14ac:dyDescent="0.25">
      <c r="A97" s="28">
        <v>46118</v>
      </c>
      <c r="B97" t="s">
        <v>18</v>
      </c>
      <c r="C97">
        <f>IF(B97="top",5,IF(B97="up",4,IF(B97="tranquil",3,IF(B97="empty",2,IF(B97="down",1,0)))))</f>
      </c>
    </row>
    <row r="98" spans="1:3" x14ac:dyDescent="0.25">
      <c r="A98" s="28">
        <v>46119</v>
      </c>
      <c r="B98" t="s">
        <v>18</v>
      </c>
      <c r="C98">
        <f>IF(B98="top",5,IF(B98="up",4,IF(B98="tranquil",3,IF(B98="empty",2,IF(B98="down",1,0)))))</f>
      </c>
    </row>
    <row r="99" spans="1:3" x14ac:dyDescent="0.25">
      <c r="A99" s="28">
        <v>46120</v>
      </c>
      <c r="B99" t="s">
        <v>18</v>
      </c>
      <c r="C99">
        <f>IF(B99="top",5,IF(B99="up",4,IF(B99="tranquil",3,IF(B99="empty",2,IF(B99="down",1,0)))))</f>
      </c>
    </row>
    <row r="100" spans="1:3" x14ac:dyDescent="0.25">
      <c r="A100" s="28">
        <v>46121</v>
      </c>
      <c r="B100" t="s">
        <v>18</v>
      </c>
      <c r="C100">
        <f>IF(B100="top",5,IF(B100="up",4,IF(B100="tranquil",3,IF(B100="empty",2,IF(B100="down",1,0)))))</f>
      </c>
    </row>
    <row r="101" spans="1:3" x14ac:dyDescent="0.25">
      <c r="A101" s="28">
        <v>46122</v>
      </c>
      <c r="B101" t="s">
        <v>18</v>
      </c>
      <c r="C101">
        <f>IF(B101="top",5,IF(B101="up",4,IF(B101="tranquil",3,IF(B101="empty",2,IF(B101="down",1,0)))))</f>
      </c>
    </row>
    <row r="102" spans="1:3" x14ac:dyDescent="0.25">
      <c r="A102" s="28">
        <v>46123</v>
      </c>
      <c r="B102" t="s">
        <v>18</v>
      </c>
      <c r="C102">
        <f>IF(B102="top",5,IF(B102="up",4,IF(B102="tranquil",3,IF(B102="empty",2,IF(B102="down",1,0)))))</f>
      </c>
    </row>
    <row r="103" spans="1:3" x14ac:dyDescent="0.25">
      <c r="A103" s="28">
        <v>46124</v>
      </c>
      <c r="B103" t="s">
        <v>18</v>
      </c>
      <c r="C103">
        <f>IF(B103="top",5,IF(B103="up",4,IF(B103="tranquil",3,IF(B103="empty",2,IF(B103="down",1,0)))))</f>
      </c>
    </row>
    <row r="104" spans="1:3" x14ac:dyDescent="0.25">
      <c r="A104" s="28">
        <v>46125</v>
      </c>
      <c r="B104" t="s">
        <v>18</v>
      </c>
      <c r="C104">
        <f>IF(B104="top",5,IF(B104="up",4,IF(B104="tranquil",3,IF(B104="empty",2,IF(B104="down",1,0)))))</f>
      </c>
    </row>
    <row r="105" spans="1:3" x14ac:dyDescent="0.25">
      <c r="A105" s="28">
        <v>46126</v>
      </c>
      <c r="B105" t="s">
        <v>18</v>
      </c>
      <c r="C105">
        <f>IF(B105="top",5,IF(B105="up",4,IF(B105="tranquil",3,IF(B105="empty",2,IF(B105="down",1,0)))))</f>
      </c>
    </row>
    <row r="106" spans="1:3" x14ac:dyDescent="0.25">
      <c r="A106" s="28">
        <v>46127</v>
      </c>
      <c r="B106" t="s">
        <v>18</v>
      </c>
      <c r="C106">
        <f>IF(B106="top",5,IF(B106="up",4,IF(B106="tranquil",3,IF(B106="empty",2,IF(B106="down",1,0)))))</f>
      </c>
    </row>
    <row r="107" spans="1:3" x14ac:dyDescent="0.25">
      <c r="A107" s="28">
        <v>46128</v>
      </c>
      <c r="B107" t="s">
        <v>18</v>
      </c>
      <c r="C107">
        <f>IF(B107="top",5,IF(B107="up",4,IF(B107="tranquil",3,IF(B107="empty",2,IF(B107="down",1,0)))))</f>
      </c>
    </row>
    <row r="108" spans="1:3" x14ac:dyDescent="0.25">
      <c r="A108" s="28">
        <v>46129</v>
      </c>
      <c r="B108" t="s">
        <v>18</v>
      </c>
      <c r="C108">
        <f>IF(B108="top",5,IF(B108="up",4,IF(B108="tranquil",3,IF(B108="empty",2,IF(B108="down",1,0)))))</f>
      </c>
    </row>
    <row r="109" spans="1:3" x14ac:dyDescent="0.25">
      <c r="A109" s="28">
        <v>46130</v>
      </c>
      <c r="B109" t="s">
        <v>18</v>
      </c>
      <c r="C109">
        <f>IF(B109="top",5,IF(B109="up",4,IF(B109="tranquil",3,IF(B109="empty",2,IF(B109="down",1,0)))))</f>
      </c>
    </row>
    <row r="110" spans="1:3" x14ac:dyDescent="0.25">
      <c r="A110" s="28">
        <v>46131</v>
      </c>
      <c r="B110" t="s">
        <v>18</v>
      </c>
      <c r="C110">
        <f>IF(B110="top",5,IF(B110="up",4,IF(B110="tranquil",3,IF(B110="empty",2,IF(B110="down",1,0)))))</f>
      </c>
    </row>
    <row r="111" spans="1:3" x14ac:dyDescent="0.25">
      <c r="A111" s="28">
        <v>46132</v>
      </c>
      <c r="B111" t="s">
        <v>18</v>
      </c>
      <c r="C111">
        <f>IF(B111="top",5,IF(B111="up",4,IF(B111="tranquil",3,IF(B111="empty",2,IF(B111="down",1,0)))))</f>
      </c>
    </row>
    <row r="112" spans="1:3" x14ac:dyDescent="0.25">
      <c r="A112" s="28">
        <v>46133</v>
      </c>
      <c r="B112" t="s">
        <v>18</v>
      </c>
      <c r="C112">
        <f>IF(B112="top",5,IF(B112="up",4,IF(B112="tranquil",3,IF(B112="empty",2,IF(B112="down",1,0)))))</f>
      </c>
    </row>
    <row r="113" spans="1:3" x14ac:dyDescent="0.25">
      <c r="A113" s="28">
        <v>46134</v>
      </c>
      <c r="B113" t="s">
        <v>18</v>
      </c>
      <c r="C113">
        <f>IF(B113="top",5,IF(B113="up",4,IF(B113="tranquil",3,IF(B113="empty",2,IF(B113="down",1,0)))))</f>
      </c>
    </row>
    <row r="114" spans="1:3" x14ac:dyDescent="0.25">
      <c r="A114" s="28">
        <v>46135</v>
      </c>
      <c r="B114" t="s">
        <v>18</v>
      </c>
      <c r="C114">
        <f>IF(B114="top",5,IF(B114="up",4,IF(B114="tranquil",3,IF(B114="empty",2,IF(B114="down",1,0)))))</f>
      </c>
    </row>
    <row r="115" spans="1:3" x14ac:dyDescent="0.25">
      <c r="A115" s="28">
        <v>46136</v>
      </c>
      <c r="B115" t="s">
        <v>18</v>
      </c>
      <c r="C115">
        <f>IF(B115="top",5,IF(B115="up",4,IF(B115="tranquil",3,IF(B115="empty",2,IF(B115="down",1,0)))))</f>
      </c>
    </row>
    <row r="116" spans="1:3" x14ac:dyDescent="0.25">
      <c r="A116" s="28">
        <v>46137</v>
      </c>
      <c r="B116" t="s">
        <v>18</v>
      </c>
      <c r="C116">
        <f>IF(B116="top",5,IF(B116="up",4,IF(B116="tranquil",3,IF(B116="empty",2,IF(B116="down",1,0)))))</f>
      </c>
    </row>
    <row r="117" spans="1:3" x14ac:dyDescent="0.25">
      <c r="A117" s="28">
        <v>46138</v>
      </c>
      <c r="B117" t="s">
        <v>18</v>
      </c>
      <c r="C117">
        <f>IF(B117="top",5,IF(B117="up",4,IF(B117="tranquil",3,IF(B117="empty",2,IF(B117="down",1,0)))))</f>
      </c>
    </row>
    <row r="118" spans="1:3" x14ac:dyDescent="0.25">
      <c r="A118" s="28">
        <v>46139</v>
      </c>
      <c r="B118" t="s">
        <v>18</v>
      </c>
      <c r="C118">
        <f>IF(B118="top",5,IF(B118="up",4,IF(B118="tranquil",3,IF(B118="empty",2,IF(B118="down",1,0)))))</f>
      </c>
    </row>
    <row r="119" spans="1:3" x14ac:dyDescent="0.25">
      <c r="A119" s="28">
        <v>46140</v>
      </c>
      <c r="B119" t="s">
        <v>18</v>
      </c>
      <c r="C119">
        <f>IF(B119="top",5,IF(B119="up",4,IF(B119="tranquil",3,IF(B119="empty",2,IF(B119="down",1,0)))))</f>
      </c>
    </row>
    <row r="120" spans="1:3" x14ac:dyDescent="0.25">
      <c r="A120" s="28">
        <v>46141</v>
      </c>
      <c r="B120" t="s">
        <v>18</v>
      </c>
      <c r="C120">
        <f>IF(B120="top",5,IF(B120="up",4,IF(B120="tranquil",3,IF(B120="empty",2,IF(B120="down",1,0)))))</f>
      </c>
    </row>
    <row r="121" spans="1:3" x14ac:dyDescent="0.25">
      <c r="A121" s="28">
        <v>46142</v>
      </c>
      <c r="B121" t="s">
        <v>18</v>
      </c>
      <c r="C121">
        <f>IF(B121="top",5,IF(B121="up",4,IF(B121="tranquil",3,IF(B121="empty",2,IF(B121="down",1,0)))))</f>
      </c>
    </row>
    <row r="122" spans="1:3" x14ac:dyDescent="0.25">
      <c r="A122" s="28">
        <v>46143</v>
      </c>
      <c r="B122" t="s">
        <v>18</v>
      </c>
      <c r="C122">
        <f>IF(B122="top",5,IF(B122="up",4,IF(B122="tranquil",3,IF(B122="empty",2,IF(B122="down",1,0)))))</f>
      </c>
    </row>
    <row r="123" spans="1:3" x14ac:dyDescent="0.25">
      <c r="A123" s="28">
        <v>46144</v>
      </c>
      <c r="B123" t="s">
        <v>18</v>
      </c>
      <c r="C123">
        <f>IF(B123="top",5,IF(B123="up",4,IF(B123="tranquil",3,IF(B123="empty",2,IF(B123="down",1,0)))))</f>
      </c>
    </row>
    <row r="124" spans="1:3" x14ac:dyDescent="0.25">
      <c r="A124" s="28">
        <v>46145</v>
      </c>
      <c r="B124" t="s">
        <v>18</v>
      </c>
      <c r="C124">
        <f>IF(B124="top",5,IF(B124="up",4,IF(B124="tranquil",3,IF(B124="empty",2,IF(B124="down",1,0)))))</f>
      </c>
    </row>
    <row r="125" spans="1:3" x14ac:dyDescent="0.25">
      <c r="A125" s="28">
        <v>46146</v>
      </c>
      <c r="B125" t="s">
        <v>18</v>
      </c>
      <c r="C125">
        <f>IF(B125="top",5,IF(B125="up",4,IF(B125="tranquil",3,IF(B125="empty",2,IF(B125="down",1,0)))))</f>
      </c>
    </row>
    <row r="126" spans="1:3" x14ac:dyDescent="0.25">
      <c r="A126" s="28">
        <v>46147</v>
      </c>
      <c r="B126" t="s">
        <v>18</v>
      </c>
      <c r="C126">
        <f>IF(B126="top",5,IF(B126="up",4,IF(B126="tranquil",3,IF(B126="empty",2,IF(B126="down",1,0)))))</f>
      </c>
    </row>
    <row r="127" spans="1:3" x14ac:dyDescent="0.25">
      <c r="A127" s="28">
        <v>46148</v>
      </c>
      <c r="B127" t="s">
        <v>18</v>
      </c>
      <c r="C127">
        <f>IF(B127="top",5,IF(B127="up",4,IF(B127="tranquil",3,IF(B127="empty",2,IF(B127="down",1,0)))))</f>
      </c>
    </row>
    <row r="128" spans="1:3" x14ac:dyDescent="0.25">
      <c r="A128" s="28">
        <v>46149</v>
      </c>
      <c r="B128" t="s">
        <v>18</v>
      </c>
      <c r="C128">
        <f>IF(B128="top",5,IF(B128="up",4,IF(B128="tranquil",3,IF(B128="empty",2,IF(B128="down",1,0)))))</f>
      </c>
    </row>
    <row r="129" spans="1:3" x14ac:dyDescent="0.25">
      <c r="A129" s="28">
        <v>46150</v>
      </c>
      <c r="B129" t="s">
        <v>18</v>
      </c>
      <c r="C129">
        <f>IF(B129="top",5,IF(B129="up",4,IF(B129="tranquil",3,IF(B129="empty",2,IF(B129="down",1,0)))))</f>
      </c>
    </row>
    <row r="130" spans="1:3" x14ac:dyDescent="0.25">
      <c r="A130" s="28">
        <v>46151</v>
      </c>
      <c r="B130" t="s">
        <v>18</v>
      </c>
      <c r="C130">
        <f>IF(B130="top",5,IF(B130="up",4,IF(B130="tranquil",3,IF(B130="empty",2,IF(B130="down",1,0)))))</f>
      </c>
    </row>
    <row r="131" spans="1:3" x14ac:dyDescent="0.25">
      <c r="A131" s="28">
        <v>46152</v>
      </c>
      <c r="B131" t="s">
        <v>18</v>
      </c>
      <c r="C131">
        <f>IF(B131="top",5,IF(B131="up",4,IF(B131="tranquil",3,IF(B131="empty",2,IF(B131="down",1,0)))))</f>
      </c>
    </row>
    <row r="132" spans="1:3" x14ac:dyDescent="0.25">
      <c r="A132" s="28">
        <v>46153</v>
      </c>
      <c r="B132" t="s">
        <v>18</v>
      </c>
      <c r="C132">
        <f>IF(B132="top",5,IF(B132="up",4,IF(B132="tranquil",3,IF(B132="empty",2,IF(B132="down",1,0)))))</f>
      </c>
    </row>
    <row r="133" spans="1:3" x14ac:dyDescent="0.25">
      <c r="A133" s="28">
        <v>46154</v>
      </c>
      <c r="B133" t="s">
        <v>18</v>
      </c>
      <c r="C133">
        <f>IF(B133="top",5,IF(B133="up",4,IF(B133="tranquil",3,IF(B133="empty",2,IF(B133="down",1,0)))))</f>
      </c>
    </row>
    <row r="134" spans="1:3" x14ac:dyDescent="0.25">
      <c r="A134" s="28">
        <v>46155</v>
      </c>
      <c r="B134" t="s">
        <v>18</v>
      </c>
      <c r="C134">
        <f>IF(B134="top",5,IF(B134="up",4,IF(B134="tranquil",3,IF(B134="empty",2,IF(B134="down",1,0)))))</f>
      </c>
    </row>
    <row r="135" spans="1:3" x14ac:dyDescent="0.25">
      <c r="A135" s="28">
        <v>46156</v>
      </c>
      <c r="B135" t="s">
        <v>18</v>
      </c>
      <c r="C135">
        <f>IF(B135="top",5,IF(B135="up",4,IF(B135="tranquil",3,IF(B135="empty",2,IF(B135="down",1,0)))))</f>
      </c>
    </row>
    <row r="136" spans="1:3" x14ac:dyDescent="0.25">
      <c r="A136" s="28">
        <v>46157</v>
      </c>
      <c r="B136" t="s">
        <v>18</v>
      </c>
      <c r="C136">
        <f>IF(B136="top",5,IF(B136="up",4,IF(B136="tranquil",3,IF(B136="empty",2,IF(B136="down",1,0)))))</f>
      </c>
    </row>
    <row r="137" spans="1:3" x14ac:dyDescent="0.25">
      <c r="A137" s="28">
        <v>46158</v>
      </c>
      <c r="B137" t="s">
        <v>18</v>
      </c>
      <c r="C137">
        <f>IF(B137="top",5,IF(B137="up",4,IF(B137="tranquil",3,IF(B137="empty",2,IF(B137="down",1,0)))))</f>
      </c>
    </row>
    <row r="138" spans="1:3" x14ac:dyDescent="0.25">
      <c r="A138" s="28">
        <v>46159</v>
      </c>
      <c r="B138" t="s">
        <v>18</v>
      </c>
      <c r="C138">
        <f>IF(B138="top",5,IF(B138="up",4,IF(B138="tranquil",3,IF(B138="empty",2,IF(B138="down",1,0)))))</f>
      </c>
    </row>
    <row r="139" spans="1:3" x14ac:dyDescent="0.25">
      <c r="A139" s="28">
        <v>46160</v>
      </c>
      <c r="B139" t="s">
        <v>18</v>
      </c>
      <c r="C139">
        <f>IF(B139="top",5,IF(B139="up",4,IF(B139="tranquil",3,IF(B139="empty",2,IF(B139="down",1,0)))))</f>
      </c>
    </row>
    <row r="140" spans="1:3" x14ac:dyDescent="0.25">
      <c r="A140" s="28">
        <v>46161</v>
      </c>
      <c r="B140" t="s">
        <v>18</v>
      </c>
      <c r="C140">
        <f>IF(B140="top",5,IF(B140="up",4,IF(B140="tranquil",3,IF(B140="empty",2,IF(B140="down",1,0)))))</f>
      </c>
    </row>
    <row r="141" spans="1:3" x14ac:dyDescent="0.25">
      <c r="A141" s="28">
        <v>46162</v>
      </c>
      <c r="B141" t="s">
        <v>18</v>
      </c>
      <c r="C141">
        <f>IF(B141="top",5,IF(B141="up",4,IF(B141="tranquil",3,IF(B141="empty",2,IF(B141="down",1,0)))))</f>
      </c>
    </row>
    <row r="142" spans="1:3" x14ac:dyDescent="0.25">
      <c r="A142" s="28">
        <v>46163</v>
      </c>
      <c r="B142" t="s">
        <v>18</v>
      </c>
      <c r="C142">
        <f>IF(B142="top",5,IF(B142="up",4,IF(B142="tranquil",3,IF(B142="empty",2,IF(B142="down",1,0)))))</f>
      </c>
    </row>
    <row r="143" spans="1:3" x14ac:dyDescent="0.25">
      <c r="A143" s="28">
        <v>46164</v>
      </c>
      <c r="B143" t="s">
        <v>18</v>
      </c>
      <c r="C143">
        <f>IF(B143="top",5,IF(B143="up",4,IF(B143="tranquil",3,IF(B143="empty",2,IF(B143="down",1,0)))))</f>
      </c>
    </row>
    <row r="144" spans="1:3" x14ac:dyDescent="0.25">
      <c r="A144" s="28">
        <v>46165</v>
      </c>
      <c r="B144" t="s">
        <v>18</v>
      </c>
      <c r="C144">
        <f>IF(B144="top",5,IF(B144="up",4,IF(B144="tranquil",3,IF(B144="empty",2,IF(B144="down",1,0)))))</f>
      </c>
    </row>
    <row r="145" spans="1:3" x14ac:dyDescent="0.25">
      <c r="A145" s="28">
        <v>46166</v>
      </c>
      <c r="B145" t="s">
        <v>18</v>
      </c>
      <c r="C145">
        <f>IF(B145="top",5,IF(B145="up",4,IF(B145="tranquil",3,IF(B145="empty",2,IF(B145="down",1,0)))))</f>
      </c>
    </row>
    <row r="146" spans="1:3" x14ac:dyDescent="0.25">
      <c r="A146" s="28">
        <v>46167</v>
      </c>
      <c r="B146" t="s">
        <v>18</v>
      </c>
      <c r="C146">
        <f>IF(B146="top",5,IF(B146="up",4,IF(B146="tranquil",3,IF(B146="empty",2,IF(B146="down",1,0)))))</f>
      </c>
    </row>
    <row r="147" spans="1:3" x14ac:dyDescent="0.25">
      <c r="A147" s="28">
        <v>46168</v>
      </c>
      <c r="B147" t="s">
        <v>18</v>
      </c>
      <c r="C147">
        <f>IF(B147="top",5,IF(B147="up",4,IF(B147="tranquil",3,IF(B147="empty",2,IF(B147="down",1,0)))))</f>
      </c>
    </row>
    <row r="148" spans="1:3" x14ac:dyDescent="0.25">
      <c r="A148" s="28">
        <v>46169</v>
      </c>
      <c r="B148" t="s">
        <v>18</v>
      </c>
      <c r="C148">
        <f>IF(B148="top",5,IF(B148="up",4,IF(B148="tranquil",3,IF(B148="empty",2,IF(B148="down",1,0)))))</f>
      </c>
    </row>
    <row r="149" spans="1:3" x14ac:dyDescent="0.25">
      <c r="A149" s="28">
        <v>46170</v>
      </c>
      <c r="B149" t="s">
        <v>18</v>
      </c>
      <c r="C149">
        <f>IF(B149="top",5,IF(B149="up",4,IF(B149="tranquil",3,IF(B149="empty",2,IF(B149="down",1,0)))))</f>
      </c>
    </row>
    <row r="150" spans="1:3" x14ac:dyDescent="0.25">
      <c r="A150" s="28">
        <v>46171</v>
      </c>
      <c r="B150" t="s">
        <v>18</v>
      </c>
      <c r="C150">
        <f>IF(B150="top",5,IF(B150="up",4,IF(B150="tranquil",3,IF(B150="empty",2,IF(B150="down",1,0)))))</f>
      </c>
    </row>
    <row r="151" spans="1:3" x14ac:dyDescent="0.25">
      <c r="A151" s="28">
        <v>46172</v>
      </c>
      <c r="B151" t="s">
        <v>18</v>
      </c>
      <c r="C151">
        <f>IF(B151="top",5,IF(B151="up",4,IF(B151="tranquil",3,IF(B151="empty",2,IF(B151="down",1,0)))))</f>
      </c>
    </row>
    <row r="152" spans="1:3" x14ac:dyDescent="0.25">
      <c r="A152" s="28">
        <v>46173</v>
      </c>
      <c r="B152" t="s">
        <v>18</v>
      </c>
      <c r="C152">
        <f>IF(B152="top",5,IF(B152="up",4,IF(B152="tranquil",3,IF(B152="empty",2,IF(B152="down",1,0)))))</f>
      </c>
    </row>
    <row r="153" spans="1:3" x14ac:dyDescent="0.25">
      <c r="A153" s="28">
        <v>46174</v>
      </c>
      <c r="B153" t="s">
        <v>18</v>
      </c>
      <c r="C153">
        <f>IF(B153="top",5,IF(B153="up",4,IF(B153="tranquil",3,IF(B153="empty",2,IF(B153="down",1,0)))))</f>
      </c>
    </row>
    <row r="154" spans="1:3" x14ac:dyDescent="0.25">
      <c r="A154" s="28">
        <v>46175</v>
      </c>
      <c r="B154" t="s">
        <v>18</v>
      </c>
      <c r="C154">
        <f>IF(B154="top",5,IF(B154="up",4,IF(B154="tranquil",3,IF(B154="empty",2,IF(B154="down",1,0)))))</f>
      </c>
    </row>
    <row r="155" spans="1:3" x14ac:dyDescent="0.25">
      <c r="A155" s="28">
        <v>46176</v>
      </c>
      <c r="B155" t="s">
        <v>18</v>
      </c>
      <c r="C155">
        <f>IF(B155="top",5,IF(B155="up",4,IF(B155="tranquil",3,IF(B155="empty",2,IF(B155="down",1,0)))))</f>
      </c>
    </row>
    <row r="156" spans="1:3" x14ac:dyDescent="0.25">
      <c r="A156" s="28">
        <v>46177</v>
      </c>
      <c r="B156" t="s">
        <v>18</v>
      </c>
      <c r="C156">
        <f>IF(B156="top",5,IF(B156="up",4,IF(B156="tranquil",3,IF(B156="empty",2,IF(B156="down",1,0)))))</f>
      </c>
    </row>
    <row r="157" spans="1:3" x14ac:dyDescent="0.25">
      <c r="A157" s="28">
        <v>46178</v>
      </c>
      <c r="B157" t="s">
        <v>18</v>
      </c>
      <c r="C157">
        <f>IF(B157="top",5,IF(B157="up",4,IF(B157="tranquil",3,IF(B157="empty",2,IF(B157="down",1,0)))))</f>
      </c>
    </row>
    <row r="158" spans="1:3" x14ac:dyDescent="0.25">
      <c r="A158" s="28">
        <v>46179</v>
      </c>
      <c r="B158" t="s">
        <v>18</v>
      </c>
      <c r="C158">
        <f>IF(B158="top",5,IF(B158="up",4,IF(B158="tranquil",3,IF(B158="empty",2,IF(B158="down",1,0)))))</f>
      </c>
    </row>
    <row r="159" spans="1:3" x14ac:dyDescent="0.25">
      <c r="A159" s="28">
        <v>46180</v>
      </c>
      <c r="B159" t="s">
        <v>18</v>
      </c>
      <c r="C159">
        <f>IF(B159="top",5,IF(B159="up",4,IF(B159="tranquil",3,IF(B159="empty",2,IF(B159="down",1,0)))))</f>
      </c>
    </row>
    <row r="160" spans="1:3" x14ac:dyDescent="0.25">
      <c r="A160" s="28">
        <v>46181</v>
      </c>
      <c r="B160" t="s">
        <v>18</v>
      </c>
      <c r="C160">
        <f>IF(B160="top",5,IF(B160="up",4,IF(B160="tranquil",3,IF(B160="empty",2,IF(B160="down",1,0)))))</f>
      </c>
    </row>
    <row r="161" spans="1:3" x14ac:dyDescent="0.25">
      <c r="A161" s="28">
        <v>46182</v>
      </c>
      <c r="B161" t="s">
        <v>18</v>
      </c>
      <c r="C161">
        <f>IF(B161="top",5,IF(B161="up",4,IF(B161="tranquil",3,IF(B161="empty",2,IF(B161="down",1,0)))))</f>
      </c>
    </row>
    <row r="162" spans="1:3" x14ac:dyDescent="0.25">
      <c r="A162" s="28">
        <v>46183</v>
      </c>
      <c r="B162" t="s">
        <v>18</v>
      </c>
      <c r="C162">
        <f>IF(B162="top",5,IF(B162="up",4,IF(B162="tranquil",3,IF(B162="empty",2,IF(B162="down",1,0)))))</f>
      </c>
    </row>
    <row r="163" spans="1:3" x14ac:dyDescent="0.25">
      <c r="A163" s="28">
        <v>46184</v>
      </c>
      <c r="B163" t="s">
        <v>18</v>
      </c>
      <c r="C163">
        <f>IF(B163="top",5,IF(B163="up",4,IF(B163="tranquil",3,IF(B163="empty",2,IF(B163="down",1,0)))))</f>
      </c>
    </row>
    <row r="164" spans="1:3" x14ac:dyDescent="0.25">
      <c r="A164" s="28">
        <v>46185</v>
      </c>
      <c r="B164" t="s">
        <v>18</v>
      </c>
      <c r="C164">
        <f>IF(B164="top",5,IF(B164="up",4,IF(B164="tranquil",3,IF(B164="empty",2,IF(B164="down",1,0)))))</f>
      </c>
    </row>
    <row r="165" spans="1:3" x14ac:dyDescent="0.25">
      <c r="A165" s="28">
        <v>46186</v>
      </c>
      <c r="B165" t="s">
        <v>18</v>
      </c>
      <c r="C165">
        <f>IF(B165="top",5,IF(B165="up",4,IF(B165="tranquil",3,IF(B165="empty",2,IF(B165="down",1,0)))))</f>
      </c>
    </row>
    <row r="166" spans="1:3" x14ac:dyDescent="0.25">
      <c r="A166" s="28">
        <v>46187</v>
      </c>
      <c r="B166" t="s">
        <v>18</v>
      </c>
      <c r="C166">
        <f>IF(B166="top",5,IF(B166="up",4,IF(B166="tranquil",3,IF(B166="empty",2,IF(B166="down",1,0)))))</f>
      </c>
    </row>
    <row r="167" spans="1:3" x14ac:dyDescent="0.25">
      <c r="A167" s="28">
        <v>46188</v>
      </c>
      <c r="B167" t="s">
        <v>18</v>
      </c>
      <c r="C167">
        <f>IF(B167="top",5,IF(B167="up",4,IF(B167="tranquil",3,IF(B167="empty",2,IF(B167="down",1,0)))))</f>
      </c>
    </row>
    <row r="168" spans="1:3" x14ac:dyDescent="0.25">
      <c r="A168" s="28">
        <v>46189</v>
      </c>
      <c r="B168" t="s">
        <v>18</v>
      </c>
      <c r="C168">
        <f>IF(B168="top",5,IF(B168="up",4,IF(B168="tranquil",3,IF(B168="empty",2,IF(B168="down",1,0)))))</f>
      </c>
    </row>
    <row r="169" spans="1:3" x14ac:dyDescent="0.25">
      <c r="A169" s="28">
        <v>46190</v>
      </c>
      <c r="B169" t="s">
        <v>18</v>
      </c>
      <c r="C169">
        <f>IF(B169="top",5,IF(B169="up",4,IF(B169="tranquil",3,IF(B169="empty",2,IF(B169="down",1,0)))))</f>
      </c>
    </row>
    <row r="170" spans="1:3" x14ac:dyDescent="0.25">
      <c r="A170" s="28">
        <v>46191</v>
      </c>
      <c r="B170" t="s">
        <v>18</v>
      </c>
      <c r="C170">
        <f>IF(B170="top",5,IF(B170="up",4,IF(B170="tranquil",3,IF(B170="empty",2,IF(B170="down",1,0)))))</f>
      </c>
    </row>
    <row r="171" spans="1:3" x14ac:dyDescent="0.25">
      <c r="A171" s="28">
        <v>46192</v>
      </c>
      <c r="B171" t="s">
        <v>18</v>
      </c>
      <c r="C171">
        <f>IF(B171="top",5,IF(B171="up",4,IF(B171="tranquil",3,IF(B171="empty",2,IF(B171="down",1,0)))))</f>
      </c>
    </row>
    <row r="172" spans="1:3" x14ac:dyDescent="0.25">
      <c r="A172" s="28">
        <v>46193</v>
      </c>
      <c r="B172" t="s">
        <v>18</v>
      </c>
      <c r="C172">
        <f>IF(B172="top",5,IF(B172="up",4,IF(B172="tranquil",3,IF(B172="empty",2,IF(B172="down",1,0)))))</f>
      </c>
    </row>
    <row r="173" spans="1:3" x14ac:dyDescent="0.25">
      <c r="A173" s="28">
        <v>46194</v>
      </c>
      <c r="B173" t="s">
        <v>18</v>
      </c>
      <c r="C173">
        <f>IF(B173="top",5,IF(B173="up",4,IF(B173="tranquil",3,IF(B173="empty",2,IF(B173="down",1,0)))))</f>
      </c>
    </row>
    <row r="174" spans="1:3" x14ac:dyDescent="0.25">
      <c r="A174" s="28">
        <v>46195</v>
      </c>
      <c r="B174" t="s">
        <v>18</v>
      </c>
      <c r="C174">
        <f>IF(B174="top",5,IF(B174="up",4,IF(B174="tranquil",3,IF(B174="empty",2,IF(B174="down",1,0)))))</f>
      </c>
    </row>
    <row r="175" spans="1:3" x14ac:dyDescent="0.25">
      <c r="A175" s="28">
        <v>46196</v>
      </c>
      <c r="B175" t="s">
        <v>18</v>
      </c>
      <c r="C175">
        <f>IF(B175="top",5,IF(B175="up",4,IF(B175="tranquil",3,IF(B175="empty",2,IF(B175="down",1,0)))))</f>
      </c>
    </row>
    <row r="176" spans="1:3" x14ac:dyDescent="0.25">
      <c r="A176" s="28">
        <v>46197</v>
      </c>
      <c r="B176" t="s">
        <v>18</v>
      </c>
      <c r="C176">
        <f>IF(B176="top",5,IF(B176="up",4,IF(B176="tranquil",3,IF(B176="empty",2,IF(B176="down",1,0)))))</f>
      </c>
    </row>
    <row r="177" spans="1:3" x14ac:dyDescent="0.25">
      <c r="A177" s="28">
        <v>46198</v>
      </c>
      <c r="B177" t="s">
        <v>18</v>
      </c>
      <c r="C177">
        <f>IF(B177="top",5,IF(B177="up",4,IF(B177="tranquil",3,IF(B177="empty",2,IF(B177="down",1,0)))))</f>
      </c>
    </row>
    <row r="178" spans="1:3" x14ac:dyDescent="0.25">
      <c r="A178" s="28">
        <v>46199</v>
      </c>
      <c r="B178" t="s">
        <v>18</v>
      </c>
      <c r="C178">
        <f>IF(B178="top",5,IF(B178="up",4,IF(B178="tranquil",3,IF(B178="empty",2,IF(B178="down",1,0)))))</f>
      </c>
    </row>
    <row r="179" spans="1:3" x14ac:dyDescent="0.25">
      <c r="A179" s="28">
        <v>46200</v>
      </c>
      <c r="B179" t="s">
        <v>18</v>
      </c>
      <c r="C179">
        <f>IF(B179="top",5,IF(B179="up",4,IF(B179="tranquil",3,IF(B179="empty",2,IF(B179="down",1,0)))))</f>
      </c>
    </row>
    <row r="180" spans="1:3" x14ac:dyDescent="0.25">
      <c r="A180" s="28">
        <v>46201</v>
      </c>
      <c r="B180" t="s">
        <v>18</v>
      </c>
      <c r="C180">
        <f>IF(B180="top",5,IF(B180="up",4,IF(B180="tranquil",3,IF(B180="empty",2,IF(B180="down",1,0)))))</f>
      </c>
    </row>
    <row r="181" spans="1:3" x14ac:dyDescent="0.25">
      <c r="A181" s="28">
        <v>46202</v>
      </c>
      <c r="B181" t="s">
        <v>18</v>
      </c>
      <c r="C181">
        <f>IF(B181="top",5,IF(B181="up",4,IF(B181="tranquil",3,IF(B181="empty",2,IF(B181="down",1,0)))))</f>
      </c>
    </row>
    <row r="182" spans="1:3" x14ac:dyDescent="0.25">
      <c r="A182" s="28">
        <v>46203</v>
      </c>
      <c r="B182" t="s">
        <v>18</v>
      </c>
      <c r="C182">
        <f>IF(B182="top",5,IF(B182="up",4,IF(B182="tranquil",3,IF(B182="empty",2,IF(B182="down",1,0)))))</f>
      </c>
    </row>
    <row r="183" spans="1:3" x14ac:dyDescent="0.25">
      <c r="A183" s="28">
        <v>46204</v>
      </c>
      <c r="B183" t="s">
        <v>18</v>
      </c>
      <c r="C183">
        <f>IF(B183="top",5,IF(B183="up",4,IF(B183="tranquil",3,IF(B183="empty",2,IF(B183="down",1,0)))))</f>
      </c>
    </row>
    <row r="184" spans="1:3" x14ac:dyDescent="0.25">
      <c r="A184" s="28">
        <v>46205</v>
      </c>
      <c r="B184" t="s">
        <v>18</v>
      </c>
      <c r="C184">
        <f>IF(B184="top",5,IF(B184="up",4,IF(B184="tranquil",3,IF(B184="empty",2,IF(B184="down",1,0)))))</f>
      </c>
    </row>
    <row r="185" spans="1:3" x14ac:dyDescent="0.25">
      <c r="A185" s="28">
        <v>46206</v>
      </c>
      <c r="B185" t="s">
        <v>18</v>
      </c>
      <c r="C185">
        <f>IF(B185="top",5,IF(B185="up",4,IF(B185="tranquil",3,IF(B185="empty",2,IF(B185="down",1,0)))))</f>
      </c>
    </row>
    <row r="186" spans="1:3" x14ac:dyDescent="0.25">
      <c r="A186" s="28">
        <v>46207</v>
      </c>
      <c r="B186" t="s">
        <v>18</v>
      </c>
      <c r="C186">
        <f>IF(B186="top",5,IF(B186="up",4,IF(B186="tranquil",3,IF(B186="empty",2,IF(B186="down",1,0)))))</f>
      </c>
    </row>
    <row r="187" spans="1:3" x14ac:dyDescent="0.25">
      <c r="A187" s="28">
        <v>46208</v>
      </c>
      <c r="B187" t="s">
        <v>18</v>
      </c>
      <c r="C187">
        <f>IF(B187="top",5,IF(B187="up",4,IF(B187="tranquil",3,IF(B187="empty",2,IF(B187="down",1,0)))))</f>
      </c>
    </row>
    <row r="188" spans="1:3" x14ac:dyDescent="0.25">
      <c r="A188" s="28">
        <v>46209</v>
      </c>
      <c r="B188" t="s">
        <v>18</v>
      </c>
      <c r="C188">
        <f>IF(B188="top",5,IF(B188="up",4,IF(B188="tranquil",3,IF(B188="empty",2,IF(B188="down",1,0)))))</f>
      </c>
    </row>
    <row r="189" spans="1:3" x14ac:dyDescent="0.25">
      <c r="A189" s="28">
        <v>46210</v>
      </c>
      <c r="B189" t="s">
        <v>18</v>
      </c>
      <c r="C189">
        <f>IF(B189="top",5,IF(B189="up",4,IF(B189="tranquil",3,IF(B189="empty",2,IF(B189="down",1,0)))))</f>
      </c>
    </row>
    <row r="190" spans="1:3" x14ac:dyDescent="0.25">
      <c r="A190" s="28">
        <v>46211</v>
      </c>
      <c r="B190" t="s">
        <v>18</v>
      </c>
      <c r="C190">
        <f>IF(B190="top",5,IF(B190="up",4,IF(B190="tranquil",3,IF(B190="empty",2,IF(B190="down",1,0)))))</f>
      </c>
    </row>
    <row r="191" spans="1:3" x14ac:dyDescent="0.25">
      <c r="A191" s="28">
        <v>46212</v>
      </c>
      <c r="B191" t="s">
        <v>18</v>
      </c>
      <c r="C191">
        <f>IF(B191="top",5,IF(B191="up",4,IF(B191="tranquil",3,IF(B191="empty",2,IF(B191="down",1,0)))))</f>
      </c>
    </row>
    <row r="192" spans="1:3" x14ac:dyDescent="0.25">
      <c r="A192" s="28">
        <v>46213</v>
      </c>
      <c r="B192" t="s">
        <v>18</v>
      </c>
      <c r="C192">
        <f>IF(B192="top",5,IF(B192="up",4,IF(B192="tranquil",3,IF(B192="empty",2,IF(B192="down",1,0)))))</f>
      </c>
    </row>
    <row r="193" spans="1:3" x14ac:dyDescent="0.25">
      <c r="A193" s="28">
        <v>46214</v>
      </c>
      <c r="B193" t="s">
        <v>18</v>
      </c>
      <c r="C193">
        <f>IF(B193="top",5,IF(B193="up",4,IF(B193="tranquil",3,IF(B193="empty",2,IF(B193="down",1,0)))))</f>
      </c>
    </row>
    <row r="194" spans="1:3" x14ac:dyDescent="0.25">
      <c r="A194" s="28">
        <v>46215</v>
      </c>
      <c r="B194" t="s">
        <v>18</v>
      </c>
      <c r="C194">
        <f>IF(B194="top",5,IF(B194="up",4,IF(B194="tranquil",3,IF(B194="empty",2,IF(B194="down",1,0)))))</f>
      </c>
    </row>
    <row r="195" spans="1:3" x14ac:dyDescent="0.25">
      <c r="A195" s="28">
        <v>46216</v>
      </c>
      <c r="B195" t="s">
        <v>18</v>
      </c>
      <c r="C195">
        <f>IF(B195="top",5,IF(B195="up",4,IF(B195="tranquil",3,IF(B195="empty",2,IF(B195="down",1,0)))))</f>
      </c>
    </row>
    <row r="196" spans="1:3" x14ac:dyDescent="0.25">
      <c r="A196" s="28">
        <v>46217</v>
      </c>
      <c r="B196" t="s">
        <v>18</v>
      </c>
      <c r="C196">
        <f>IF(B196="top",5,IF(B196="up",4,IF(B196="tranquil",3,IF(B196="empty",2,IF(B196="down",1,0)))))</f>
      </c>
    </row>
    <row r="197" spans="1:3" x14ac:dyDescent="0.25">
      <c r="A197" s="28">
        <v>46218</v>
      </c>
      <c r="B197" t="s">
        <v>18</v>
      </c>
      <c r="C197">
        <f>IF(B197="top",5,IF(B197="up",4,IF(B197="tranquil",3,IF(B197="empty",2,IF(B197="down",1,0)))))</f>
      </c>
    </row>
    <row r="198" spans="1:3" x14ac:dyDescent="0.25">
      <c r="A198" s="28">
        <v>46219</v>
      </c>
      <c r="B198" t="s">
        <v>18</v>
      </c>
      <c r="C198">
        <f>IF(B198="top",5,IF(B198="up",4,IF(B198="tranquil",3,IF(B198="empty",2,IF(B198="down",1,0)))))</f>
      </c>
    </row>
    <row r="199" spans="1:3" x14ac:dyDescent="0.25">
      <c r="A199" s="28">
        <v>46220</v>
      </c>
      <c r="B199" t="s">
        <v>18</v>
      </c>
      <c r="C199">
        <f>IF(B199="top",5,IF(B199="up",4,IF(B199="tranquil",3,IF(B199="empty",2,IF(B199="down",1,0)))))</f>
      </c>
    </row>
    <row r="200" spans="1:3" x14ac:dyDescent="0.25">
      <c r="A200" s="28">
        <v>46221</v>
      </c>
      <c r="B200" t="s">
        <v>18</v>
      </c>
      <c r="C200">
        <f>IF(B200="top",5,IF(B200="up",4,IF(B200="tranquil",3,IF(B200="empty",2,IF(B200="down",1,0)))))</f>
      </c>
    </row>
    <row r="201" spans="1:3" x14ac:dyDescent="0.25">
      <c r="A201" s="28">
        <v>46222</v>
      </c>
      <c r="B201" t="s">
        <v>18</v>
      </c>
      <c r="C201">
        <f>IF(B201="top",5,IF(B201="up",4,IF(B201="tranquil",3,IF(B201="empty",2,IF(B201="down",1,0)))))</f>
      </c>
    </row>
    <row r="202" spans="1:3" x14ac:dyDescent="0.25">
      <c r="A202" s="28">
        <v>46223</v>
      </c>
      <c r="B202" t="s">
        <v>18</v>
      </c>
      <c r="C202">
        <f>IF(B202="top",5,IF(B202="up",4,IF(B202="tranquil",3,IF(B202="empty",2,IF(B202="down",1,0)))))</f>
      </c>
    </row>
    <row r="203" spans="1:3" x14ac:dyDescent="0.25">
      <c r="A203" s="28">
        <v>46224</v>
      </c>
      <c r="B203" t="s">
        <v>18</v>
      </c>
      <c r="C203">
        <f>IF(B203="top",5,IF(B203="up",4,IF(B203="tranquil",3,IF(B203="empty",2,IF(B203="down",1,0)))))</f>
      </c>
    </row>
    <row r="204" spans="1:3" x14ac:dyDescent="0.25">
      <c r="A204" s="28">
        <v>46225</v>
      </c>
      <c r="B204" t="s">
        <v>18</v>
      </c>
      <c r="C204">
        <f>IF(B204="top",5,IF(B204="up",4,IF(B204="tranquil",3,IF(B204="empty",2,IF(B204="down",1,0)))))</f>
      </c>
    </row>
    <row r="205" spans="1:3" x14ac:dyDescent="0.25">
      <c r="A205" s="28">
        <v>46226</v>
      </c>
      <c r="B205" t="s">
        <v>18</v>
      </c>
      <c r="C205">
        <f>IF(B205="top",5,IF(B205="up",4,IF(B205="tranquil",3,IF(B205="empty",2,IF(B205="down",1,0)))))</f>
      </c>
    </row>
    <row r="206" spans="1:3" x14ac:dyDescent="0.25">
      <c r="A206" s="28">
        <v>46227</v>
      </c>
      <c r="B206" t="s">
        <v>18</v>
      </c>
      <c r="C206">
        <f>IF(B206="top",5,IF(B206="up",4,IF(B206="tranquil",3,IF(B206="empty",2,IF(B206="down",1,0)))))</f>
      </c>
    </row>
    <row r="207" spans="1:3" x14ac:dyDescent="0.25">
      <c r="A207" s="28">
        <v>46228</v>
      </c>
      <c r="B207" t="s">
        <v>18</v>
      </c>
      <c r="C207">
        <f>IF(B207="top",5,IF(B207="up",4,IF(B207="tranquil",3,IF(B207="empty",2,IF(B207="down",1,0)))))</f>
      </c>
    </row>
    <row r="208" spans="1:3" x14ac:dyDescent="0.25">
      <c r="A208" s="28">
        <v>46229</v>
      </c>
      <c r="B208" t="s">
        <v>18</v>
      </c>
      <c r="C208">
        <f>IF(B208="top",5,IF(B208="up",4,IF(B208="tranquil",3,IF(B208="empty",2,IF(B208="down",1,0)))))</f>
      </c>
    </row>
    <row r="209" spans="1:3" x14ac:dyDescent="0.25">
      <c r="A209" s="28">
        <v>46230</v>
      </c>
      <c r="B209" t="s">
        <v>18</v>
      </c>
      <c r="C209">
        <f>IF(B209="top",5,IF(B209="up",4,IF(B209="tranquil",3,IF(B209="empty",2,IF(B209="down",1,0)))))</f>
      </c>
    </row>
    <row r="210" spans="1:3" x14ac:dyDescent="0.25">
      <c r="A210" s="28">
        <v>46231</v>
      </c>
      <c r="B210" t="s">
        <v>18</v>
      </c>
      <c r="C210">
        <f>IF(B210="top",5,IF(B210="up",4,IF(B210="tranquil",3,IF(B210="empty",2,IF(B210="down",1,0)))))</f>
      </c>
    </row>
    <row r="211" spans="1:3" x14ac:dyDescent="0.25">
      <c r="A211" s="28">
        <v>46232</v>
      </c>
      <c r="B211" t="s">
        <v>18</v>
      </c>
      <c r="C211">
        <f>IF(B211="top",5,IF(B211="up",4,IF(B211="tranquil",3,IF(B211="empty",2,IF(B211="down",1,0)))))</f>
      </c>
    </row>
    <row r="212" spans="1:3" x14ac:dyDescent="0.25">
      <c r="A212" s="28">
        <v>46233</v>
      </c>
      <c r="B212" t="s">
        <v>18</v>
      </c>
      <c r="C212">
        <f>IF(B212="top",5,IF(B212="up",4,IF(B212="tranquil",3,IF(B212="empty",2,IF(B212="down",1,0)))))</f>
      </c>
    </row>
    <row r="213" spans="1:3" x14ac:dyDescent="0.25">
      <c r="A213" s="28">
        <v>46234</v>
      </c>
      <c r="B213" t="s">
        <v>18</v>
      </c>
      <c r="C213">
        <f>IF(B213="top",5,IF(B213="up",4,IF(B213="tranquil",3,IF(B213="empty",2,IF(B213="down",1,0)))))</f>
      </c>
    </row>
    <row r="214" spans="1:3" x14ac:dyDescent="0.25">
      <c r="A214" s="28">
        <v>46235</v>
      </c>
      <c r="B214" t="s">
        <v>18</v>
      </c>
      <c r="C214">
        <f>IF(B214="top",5,IF(B214="up",4,IF(B214="tranquil",3,IF(B214="empty",2,IF(B214="down",1,0)))))</f>
      </c>
    </row>
    <row r="215" spans="1:3" x14ac:dyDescent="0.25">
      <c r="A215" s="28">
        <v>46236</v>
      </c>
      <c r="B215" t="s">
        <v>18</v>
      </c>
      <c r="C215">
        <f>IF(B215="top",5,IF(B215="up",4,IF(B215="tranquil",3,IF(B215="empty",2,IF(B215="down",1,0)))))</f>
      </c>
    </row>
    <row r="216" spans="1:3" x14ac:dyDescent="0.25">
      <c r="A216" s="28">
        <v>46237</v>
      </c>
      <c r="B216" t="s">
        <v>18</v>
      </c>
      <c r="C216">
        <f>IF(B216="top",5,IF(B216="up",4,IF(B216="tranquil",3,IF(B216="empty",2,IF(B216="down",1,0)))))</f>
      </c>
    </row>
    <row r="217" spans="1:3" x14ac:dyDescent="0.25">
      <c r="A217" s="28">
        <v>46238</v>
      </c>
      <c r="B217" t="s">
        <v>18</v>
      </c>
      <c r="C217">
        <f>IF(B217="top",5,IF(B217="up",4,IF(B217="tranquil",3,IF(B217="empty",2,IF(B217="down",1,0)))))</f>
      </c>
    </row>
    <row r="218" spans="1:3" x14ac:dyDescent="0.25">
      <c r="A218" s="28">
        <v>46239</v>
      </c>
      <c r="B218" t="s">
        <v>18</v>
      </c>
      <c r="C218">
        <f>IF(B218="top",5,IF(B218="up",4,IF(B218="tranquil",3,IF(B218="empty",2,IF(B218="down",1,0)))))</f>
      </c>
    </row>
    <row r="219" spans="1:3" x14ac:dyDescent="0.25">
      <c r="A219" s="28">
        <v>46240</v>
      </c>
      <c r="B219" t="s">
        <v>18</v>
      </c>
      <c r="C219">
        <f>IF(B219="top",5,IF(B219="up",4,IF(B219="tranquil",3,IF(B219="empty",2,IF(B219="down",1,0)))))</f>
      </c>
    </row>
    <row r="220" spans="1:3" x14ac:dyDescent="0.25">
      <c r="A220" s="28">
        <v>46241</v>
      </c>
      <c r="B220" t="s">
        <v>18</v>
      </c>
      <c r="C220">
        <f>IF(B220="top",5,IF(B220="up",4,IF(B220="tranquil",3,IF(B220="empty",2,IF(B220="down",1,0)))))</f>
      </c>
    </row>
    <row r="221" spans="1:3" x14ac:dyDescent="0.25">
      <c r="A221" s="28">
        <v>46242</v>
      </c>
      <c r="B221" t="s">
        <v>18</v>
      </c>
      <c r="C221">
        <f>IF(B221="top",5,IF(B221="up",4,IF(B221="tranquil",3,IF(B221="empty",2,IF(B221="down",1,0)))))</f>
      </c>
    </row>
    <row r="222" spans="1:3" x14ac:dyDescent="0.25">
      <c r="A222" s="28">
        <v>46243</v>
      </c>
      <c r="B222" t="s">
        <v>18</v>
      </c>
      <c r="C222">
        <f>IF(B222="top",5,IF(B222="up",4,IF(B222="tranquil",3,IF(B222="empty",2,IF(B222="down",1,0)))))</f>
      </c>
    </row>
    <row r="223" spans="1:3" x14ac:dyDescent="0.25">
      <c r="A223" s="28">
        <v>46244</v>
      </c>
      <c r="B223" t="s">
        <v>18</v>
      </c>
      <c r="C223">
        <f>IF(B223="top",5,IF(B223="up",4,IF(B223="tranquil",3,IF(B223="empty",2,IF(B223="down",1,0)))))</f>
      </c>
    </row>
    <row r="224" spans="1:3" x14ac:dyDescent="0.25">
      <c r="A224" s="28">
        <v>46245</v>
      </c>
      <c r="B224" t="s">
        <v>18</v>
      </c>
      <c r="C224">
        <f>IF(B224="top",5,IF(B224="up",4,IF(B224="tranquil",3,IF(B224="empty",2,IF(B224="down",1,0)))))</f>
      </c>
    </row>
    <row r="225" spans="1:3" x14ac:dyDescent="0.25">
      <c r="A225" s="28">
        <v>46246</v>
      </c>
      <c r="B225" t="s">
        <v>18</v>
      </c>
      <c r="C225">
        <f>IF(B225="top",5,IF(B225="up",4,IF(B225="tranquil",3,IF(B225="empty",2,IF(B225="down",1,0)))))</f>
      </c>
    </row>
    <row r="226" spans="1:3" x14ac:dyDescent="0.25">
      <c r="A226" s="28">
        <v>46247</v>
      </c>
      <c r="B226" t="s">
        <v>18</v>
      </c>
      <c r="C226">
        <f>IF(B226="top",5,IF(B226="up",4,IF(B226="tranquil",3,IF(B226="empty",2,IF(B226="down",1,0)))))</f>
      </c>
    </row>
    <row r="227" spans="1:3" x14ac:dyDescent="0.25">
      <c r="A227" s="28">
        <v>46248</v>
      </c>
      <c r="B227" t="s">
        <v>18</v>
      </c>
      <c r="C227">
        <f>IF(B227="top",5,IF(B227="up",4,IF(B227="tranquil",3,IF(B227="empty",2,IF(B227="down",1,0)))))</f>
      </c>
    </row>
    <row r="228" spans="1:3" x14ac:dyDescent="0.25">
      <c r="A228" s="28">
        <v>46249</v>
      </c>
      <c r="B228" t="s">
        <v>18</v>
      </c>
      <c r="C228">
        <f>IF(B228="top",5,IF(B228="up",4,IF(B228="tranquil",3,IF(B228="empty",2,IF(B228="down",1,0)))))</f>
      </c>
    </row>
    <row r="229" spans="1:3" x14ac:dyDescent="0.25">
      <c r="A229" s="28">
        <v>46250</v>
      </c>
      <c r="B229" t="s">
        <v>18</v>
      </c>
      <c r="C229">
        <f>IF(B229="top",5,IF(B229="up",4,IF(B229="tranquil",3,IF(B229="empty",2,IF(B229="down",1,0)))))</f>
      </c>
    </row>
    <row r="230" spans="1:3" x14ac:dyDescent="0.25">
      <c r="A230" s="28">
        <v>46251</v>
      </c>
      <c r="B230" t="s">
        <v>18</v>
      </c>
      <c r="C230">
        <f>IF(B230="top",5,IF(B230="up",4,IF(B230="tranquil",3,IF(B230="empty",2,IF(B230="down",1,0)))))</f>
      </c>
    </row>
    <row r="231" spans="1:3" x14ac:dyDescent="0.25">
      <c r="A231" s="28">
        <v>46252</v>
      </c>
      <c r="B231" t="s">
        <v>18</v>
      </c>
      <c r="C231">
        <f>IF(B231="top",5,IF(B231="up",4,IF(B231="tranquil",3,IF(B231="empty",2,IF(B231="down",1,0)))))</f>
      </c>
    </row>
    <row r="232" spans="1:3" x14ac:dyDescent="0.25">
      <c r="A232" s="28">
        <v>46253</v>
      </c>
      <c r="B232" t="s">
        <v>18</v>
      </c>
      <c r="C232">
        <f>IF(B232="top",5,IF(B232="up",4,IF(B232="tranquil",3,IF(B232="empty",2,IF(B232="down",1,0)))))</f>
      </c>
    </row>
    <row r="233" spans="1:3" x14ac:dyDescent="0.25">
      <c r="A233" s="28">
        <v>46254</v>
      </c>
      <c r="B233" t="s">
        <v>18</v>
      </c>
      <c r="C233">
        <f>IF(B233="top",5,IF(B233="up",4,IF(B233="tranquil",3,IF(B233="empty",2,IF(B233="down",1,0)))))</f>
      </c>
    </row>
    <row r="234" spans="1:3" x14ac:dyDescent="0.25">
      <c r="A234" s="28">
        <v>46255</v>
      </c>
      <c r="B234" t="s">
        <v>18</v>
      </c>
      <c r="C234">
        <f>IF(B234="top",5,IF(B234="up",4,IF(B234="tranquil",3,IF(B234="empty",2,IF(B234="down",1,0)))))</f>
      </c>
    </row>
    <row r="235" spans="1:3" x14ac:dyDescent="0.25">
      <c r="A235" s="28">
        <v>46256</v>
      </c>
      <c r="B235" t="s">
        <v>18</v>
      </c>
      <c r="C235">
        <f>IF(B235="top",5,IF(B235="up",4,IF(B235="tranquil",3,IF(B235="empty",2,IF(B235="down",1,0)))))</f>
      </c>
    </row>
    <row r="236" spans="1:3" x14ac:dyDescent="0.25">
      <c r="A236" s="28">
        <v>46257</v>
      </c>
      <c r="B236" t="s">
        <v>18</v>
      </c>
      <c r="C236">
        <f>IF(B236="top",5,IF(B236="up",4,IF(B236="tranquil",3,IF(B236="empty",2,IF(B236="down",1,0)))))</f>
      </c>
    </row>
    <row r="237" spans="1:3" x14ac:dyDescent="0.25">
      <c r="A237" s="28">
        <v>46258</v>
      </c>
      <c r="B237" t="s">
        <v>18</v>
      </c>
      <c r="C237">
        <f>IF(B237="top",5,IF(B237="up",4,IF(B237="tranquil",3,IF(B237="empty",2,IF(B237="down",1,0)))))</f>
      </c>
    </row>
    <row r="238" spans="1:3" x14ac:dyDescent="0.25">
      <c r="A238" s="28">
        <v>46259</v>
      </c>
      <c r="B238" t="s">
        <v>18</v>
      </c>
      <c r="C238">
        <f>IF(B238="top",5,IF(B238="up",4,IF(B238="tranquil",3,IF(B238="empty",2,IF(B238="down",1,0)))))</f>
      </c>
    </row>
    <row r="239" spans="1:3" x14ac:dyDescent="0.25">
      <c r="A239" s="28">
        <v>46260</v>
      </c>
      <c r="B239" t="s">
        <v>18</v>
      </c>
      <c r="C239">
        <f>IF(B239="top",5,IF(B239="up",4,IF(B239="tranquil",3,IF(B239="empty",2,IF(B239="down",1,0)))))</f>
      </c>
    </row>
    <row r="240" spans="1:3" x14ac:dyDescent="0.25">
      <c r="A240" s="28">
        <v>46261</v>
      </c>
      <c r="B240" t="s">
        <v>18</v>
      </c>
      <c r="C240">
        <f>IF(B240="top",5,IF(B240="up",4,IF(B240="tranquil",3,IF(B240="empty",2,IF(B240="down",1,0)))))</f>
      </c>
    </row>
    <row r="241" spans="1:3" x14ac:dyDescent="0.25">
      <c r="A241" s="28">
        <v>46262</v>
      </c>
      <c r="B241" t="s">
        <v>18</v>
      </c>
      <c r="C241">
        <f>IF(B241="top",5,IF(B241="up",4,IF(B241="tranquil",3,IF(B241="empty",2,IF(B241="down",1,0)))))</f>
      </c>
    </row>
    <row r="242" spans="1:3" x14ac:dyDescent="0.25">
      <c r="A242" s="28">
        <v>46263</v>
      </c>
      <c r="B242" t="s">
        <v>18</v>
      </c>
      <c r="C242">
        <f>IF(B242="top",5,IF(B242="up",4,IF(B242="tranquil",3,IF(B242="empty",2,IF(B242="down",1,0)))))</f>
      </c>
    </row>
    <row r="243" spans="1:3" x14ac:dyDescent="0.25">
      <c r="A243" s="28">
        <v>46264</v>
      </c>
      <c r="B243" t="s">
        <v>18</v>
      </c>
      <c r="C243">
        <f>IF(B243="top",5,IF(B243="up",4,IF(B243="tranquil",3,IF(B243="empty",2,IF(B243="down",1,0)))))</f>
      </c>
    </row>
    <row r="244" spans="1:3" x14ac:dyDescent="0.25">
      <c r="A244" s="28">
        <v>46265</v>
      </c>
      <c r="B244" t="s">
        <v>18</v>
      </c>
      <c r="C244">
        <f>IF(B244="top",5,IF(B244="up",4,IF(B244="tranquil",3,IF(B244="empty",2,IF(B244="down",1,0)))))</f>
      </c>
    </row>
    <row r="245" spans="1:3" x14ac:dyDescent="0.25">
      <c r="A245" s="28">
        <v>46266</v>
      </c>
      <c r="B245" t="s">
        <v>18</v>
      </c>
      <c r="C245">
        <f>IF(B245="top",5,IF(B245="up",4,IF(B245="tranquil",3,IF(B245="empty",2,IF(B245="down",1,0)))))</f>
      </c>
    </row>
    <row r="246" spans="1:3" x14ac:dyDescent="0.25">
      <c r="A246" s="28">
        <v>46267</v>
      </c>
      <c r="B246" t="s">
        <v>18</v>
      </c>
      <c r="C246">
        <f>IF(B246="top",5,IF(B246="up",4,IF(B246="tranquil",3,IF(B246="empty",2,IF(B246="down",1,0)))))</f>
      </c>
    </row>
    <row r="247" spans="1:3" x14ac:dyDescent="0.25">
      <c r="A247" s="28">
        <v>46268</v>
      </c>
      <c r="B247" t="s">
        <v>18</v>
      </c>
      <c r="C247">
        <f>IF(B247="top",5,IF(B247="up",4,IF(B247="tranquil",3,IF(B247="empty",2,IF(B247="down",1,0)))))</f>
      </c>
    </row>
    <row r="248" spans="1:3" x14ac:dyDescent="0.25">
      <c r="A248" s="28">
        <v>46269</v>
      </c>
      <c r="B248" t="s">
        <v>18</v>
      </c>
      <c r="C248">
        <f>IF(B248="top",5,IF(B248="up",4,IF(B248="tranquil",3,IF(B248="empty",2,IF(B248="down",1,0)))))</f>
      </c>
    </row>
    <row r="249" spans="1:3" x14ac:dyDescent="0.25">
      <c r="A249" s="28">
        <v>46270</v>
      </c>
      <c r="B249" t="s">
        <v>18</v>
      </c>
      <c r="C249">
        <f>IF(B249="top",5,IF(B249="up",4,IF(B249="tranquil",3,IF(B249="empty",2,IF(B249="down",1,0)))))</f>
      </c>
    </row>
    <row r="250" spans="1:3" x14ac:dyDescent="0.25">
      <c r="A250" s="28">
        <v>46271</v>
      </c>
      <c r="B250" t="s">
        <v>18</v>
      </c>
      <c r="C250">
        <f>IF(B250="top",5,IF(B250="up",4,IF(B250="tranquil",3,IF(B250="empty",2,IF(B250="down",1,0)))))</f>
      </c>
    </row>
    <row r="251" spans="1:3" x14ac:dyDescent="0.25">
      <c r="A251" s="28">
        <v>46272</v>
      </c>
      <c r="B251" t="s">
        <v>18</v>
      </c>
      <c r="C251">
        <f>IF(B251="top",5,IF(B251="up",4,IF(B251="tranquil",3,IF(B251="empty",2,IF(B251="down",1,0)))))</f>
      </c>
    </row>
    <row r="252" spans="1:3" x14ac:dyDescent="0.25">
      <c r="A252" s="28">
        <v>46273</v>
      </c>
      <c r="B252" t="s">
        <v>18</v>
      </c>
      <c r="C252">
        <f>IF(B252="top",5,IF(B252="up",4,IF(B252="tranquil",3,IF(B252="empty",2,IF(B252="down",1,0)))))</f>
      </c>
    </row>
    <row r="253" spans="1:3" x14ac:dyDescent="0.25">
      <c r="A253" s="28">
        <v>46274</v>
      </c>
      <c r="B253" t="s">
        <v>18</v>
      </c>
      <c r="C253">
        <f>IF(B253="top",5,IF(B253="up",4,IF(B253="tranquil",3,IF(B253="empty",2,IF(B253="down",1,0)))))</f>
      </c>
    </row>
    <row r="254" spans="1:3" x14ac:dyDescent="0.25">
      <c r="A254" s="28">
        <v>46275</v>
      </c>
      <c r="B254" t="s">
        <v>18</v>
      </c>
      <c r="C254">
        <f>IF(B254="top",5,IF(B254="up",4,IF(B254="tranquil",3,IF(B254="empty",2,IF(B254="down",1,0)))))</f>
      </c>
    </row>
    <row r="255" spans="1:3" x14ac:dyDescent="0.25">
      <c r="A255" s="28">
        <v>46276</v>
      </c>
      <c r="B255" t="s">
        <v>18</v>
      </c>
      <c r="C255">
        <f>IF(B255="top",5,IF(B255="up",4,IF(B255="tranquil",3,IF(B255="empty",2,IF(B255="down",1,0)))))</f>
      </c>
    </row>
    <row r="256" spans="1:3" x14ac:dyDescent="0.25">
      <c r="A256" s="28">
        <v>46277</v>
      </c>
      <c r="B256" t="s">
        <v>18</v>
      </c>
      <c r="C256">
        <f>IF(B256="top",5,IF(B256="up",4,IF(B256="tranquil",3,IF(B256="empty",2,IF(B256="down",1,0)))))</f>
      </c>
    </row>
    <row r="257" spans="1:3" x14ac:dyDescent="0.25">
      <c r="A257" s="28">
        <v>46278</v>
      </c>
      <c r="B257" t="s">
        <v>18</v>
      </c>
      <c r="C257">
        <f>IF(B257="top",5,IF(B257="up",4,IF(B257="tranquil",3,IF(B257="empty",2,IF(B257="down",1,0)))))</f>
      </c>
    </row>
    <row r="258" spans="1:3" x14ac:dyDescent="0.25">
      <c r="A258" s="28">
        <v>46279</v>
      </c>
      <c r="B258" t="s">
        <v>18</v>
      </c>
      <c r="C258">
        <f>IF(B258="top",5,IF(B258="up",4,IF(B258="tranquil",3,IF(B258="empty",2,IF(B258="down",1,0)))))</f>
      </c>
    </row>
    <row r="259" spans="1:3" x14ac:dyDescent="0.25">
      <c r="A259" s="28">
        <v>46280</v>
      </c>
      <c r="B259" t="s">
        <v>18</v>
      </c>
      <c r="C259">
        <f>IF(B259="top",5,IF(B259="up",4,IF(B259="tranquil",3,IF(B259="empty",2,IF(B259="down",1,0)))))</f>
      </c>
    </row>
    <row r="260" spans="1:3" x14ac:dyDescent="0.25">
      <c r="A260" s="28">
        <v>46281</v>
      </c>
      <c r="B260" t="s">
        <v>18</v>
      </c>
      <c r="C260">
        <f>IF(B260="top",5,IF(B260="up",4,IF(B260="tranquil",3,IF(B260="empty",2,IF(B260="down",1,0)))))</f>
      </c>
    </row>
    <row r="261" spans="1:3" x14ac:dyDescent="0.25">
      <c r="A261" s="28">
        <v>46282</v>
      </c>
      <c r="B261" t="s">
        <v>18</v>
      </c>
      <c r="C261">
        <f>IF(B261="top",5,IF(B261="up",4,IF(B261="tranquil",3,IF(B261="empty",2,IF(B261="down",1,0)))))</f>
      </c>
    </row>
    <row r="262" spans="1:3" x14ac:dyDescent="0.25">
      <c r="A262" s="28">
        <v>46283</v>
      </c>
      <c r="B262" t="s">
        <v>18</v>
      </c>
      <c r="C262">
        <f>IF(B262="top",5,IF(B262="up",4,IF(B262="tranquil",3,IF(B262="empty",2,IF(B262="down",1,0)))))</f>
      </c>
    </row>
    <row r="263" spans="1:3" x14ac:dyDescent="0.25">
      <c r="A263" s="28">
        <v>46284</v>
      </c>
      <c r="B263" t="s">
        <v>18</v>
      </c>
      <c r="C263">
        <f>IF(B263="top",5,IF(B263="up",4,IF(B263="tranquil",3,IF(B263="empty",2,IF(B263="down",1,0)))))</f>
      </c>
    </row>
    <row r="264" spans="1:3" x14ac:dyDescent="0.25">
      <c r="A264" s="28">
        <v>46285</v>
      </c>
      <c r="B264" t="s">
        <v>18</v>
      </c>
      <c r="C264">
        <f>IF(B264="top",5,IF(B264="up",4,IF(B264="tranquil",3,IF(B264="empty",2,IF(B264="down",1,0)))))</f>
      </c>
    </row>
    <row r="265" spans="1:3" x14ac:dyDescent="0.25">
      <c r="A265" s="28">
        <v>46286</v>
      </c>
      <c r="B265" t="s">
        <v>18</v>
      </c>
      <c r="C265">
        <f>IF(B265="top",5,IF(B265="up",4,IF(B265="tranquil",3,IF(B265="empty",2,IF(B265="down",1,0)))))</f>
      </c>
    </row>
    <row r="266" spans="1:3" x14ac:dyDescent="0.25">
      <c r="A266" s="28">
        <v>46287</v>
      </c>
      <c r="B266" t="s">
        <v>18</v>
      </c>
      <c r="C266">
        <f>IF(B266="top",5,IF(B266="up",4,IF(B266="tranquil",3,IF(B266="empty",2,IF(B266="down",1,0)))))</f>
      </c>
    </row>
    <row r="267" spans="1:3" x14ac:dyDescent="0.25">
      <c r="A267" s="28">
        <v>46288</v>
      </c>
      <c r="B267" t="s">
        <v>18</v>
      </c>
      <c r="C267">
        <f>IF(B267="top",5,IF(B267="up",4,IF(B267="tranquil",3,IF(B267="empty",2,IF(B267="down",1,0)))))</f>
      </c>
    </row>
    <row r="268" spans="1:3" x14ac:dyDescent="0.25">
      <c r="A268" s="28">
        <v>46289</v>
      </c>
      <c r="B268" t="s">
        <v>18</v>
      </c>
      <c r="C268">
        <f>IF(B268="top",5,IF(B268="up",4,IF(B268="tranquil",3,IF(B268="empty",2,IF(B268="down",1,0)))))</f>
      </c>
    </row>
    <row r="269" spans="1:3" x14ac:dyDescent="0.25">
      <c r="A269" s="28">
        <v>46290</v>
      </c>
      <c r="B269" t="s">
        <v>18</v>
      </c>
      <c r="C269">
        <f>IF(B269="top",5,IF(B269="up",4,IF(B269="tranquil",3,IF(B269="empty",2,IF(B269="down",1,0)))))</f>
      </c>
    </row>
    <row r="270" spans="1:3" x14ac:dyDescent="0.25">
      <c r="A270" s="28">
        <v>46291</v>
      </c>
      <c r="B270" t="s">
        <v>18</v>
      </c>
      <c r="C270">
        <f>IF(B270="top",5,IF(B270="up",4,IF(B270="tranquil",3,IF(B270="empty",2,IF(B270="down",1,0)))))</f>
      </c>
    </row>
    <row r="271" spans="1:3" x14ac:dyDescent="0.25">
      <c r="A271" s="28">
        <v>46292</v>
      </c>
      <c r="B271" t="s">
        <v>18</v>
      </c>
      <c r="C271">
        <f>IF(B271="top",5,IF(B271="up",4,IF(B271="tranquil",3,IF(B271="empty",2,IF(B271="down",1,0)))))</f>
      </c>
    </row>
    <row r="272" spans="1:3" x14ac:dyDescent="0.25">
      <c r="A272" s="28">
        <v>46293</v>
      </c>
      <c r="B272" t="s">
        <v>18</v>
      </c>
      <c r="C272">
        <f>IF(B272="top",5,IF(B272="up",4,IF(B272="tranquil",3,IF(B272="empty",2,IF(B272="down",1,0)))))</f>
      </c>
    </row>
    <row r="273" spans="1:3" x14ac:dyDescent="0.25">
      <c r="A273" s="28">
        <v>46294</v>
      </c>
      <c r="B273" t="s">
        <v>18</v>
      </c>
      <c r="C273">
        <f>IF(B273="top",5,IF(B273="up",4,IF(B273="tranquil",3,IF(B273="empty",2,IF(B273="down",1,0)))))</f>
      </c>
    </row>
    <row r="274" spans="1:3" x14ac:dyDescent="0.25">
      <c r="A274" s="28">
        <v>46295</v>
      </c>
      <c r="B274" t="s">
        <v>18</v>
      </c>
      <c r="C274">
        <f>IF(B274="top",5,IF(B274="up",4,IF(B274="tranquil",3,IF(B274="empty",2,IF(B274="down",1,0)))))</f>
      </c>
    </row>
    <row r="275" spans="1:3" x14ac:dyDescent="0.25">
      <c r="A275" s="28">
        <v>46296</v>
      </c>
      <c r="B275" t="s">
        <v>18</v>
      </c>
      <c r="C275">
        <f>IF(B275="top",5,IF(B275="up",4,IF(B275="tranquil",3,IF(B275="empty",2,IF(B275="down",1,0)))))</f>
      </c>
    </row>
    <row r="276" spans="1:3" x14ac:dyDescent="0.25">
      <c r="A276" s="28">
        <v>46297</v>
      </c>
      <c r="B276" t="s">
        <v>18</v>
      </c>
      <c r="C276">
        <f>IF(B276="top",5,IF(B276="up",4,IF(B276="tranquil",3,IF(B276="empty",2,IF(B276="down",1,0)))))</f>
      </c>
    </row>
    <row r="277" spans="1:3" x14ac:dyDescent="0.25">
      <c r="A277" s="28">
        <v>46298</v>
      </c>
      <c r="B277" t="s">
        <v>18</v>
      </c>
      <c r="C277">
        <f>IF(B277="top",5,IF(B277="up",4,IF(B277="tranquil",3,IF(B277="empty",2,IF(B277="down",1,0)))))</f>
      </c>
    </row>
    <row r="278" spans="1:3" x14ac:dyDescent="0.25">
      <c r="A278" s="28">
        <v>46299</v>
      </c>
      <c r="B278" t="s">
        <v>18</v>
      </c>
      <c r="C278">
        <f>IF(B278="top",5,IF(B278="up",4,IF(B278="tranquil",3,IF(B278="empty",2,IF(B278="down",1,0)))))</f>
      </c>
    </row>
    <row r="279" spans="1:3" x14ac:dyDescent="0.25">
      <c r="A279" s="28">
        <v>46300</v>
      </c>
      <c r="B279" t="s">
        <v>18</v>
      </c>
      <c r="C279">
        <f>IF(B279="top",5,IF(B279="up",4,IF(B279="tranquil",3,IF(B279="empty",2,IF(B279="down",1,0)))))</f>
      </c>
    </row>
    <row r="280" spans="1:3" x14ac:dyDescent="0.25">
      <c r="A280" s="28">
        <v>46301</v>
      </c>
      <c r="B280" t="s">
        <v>18</v>
      </c>
      <c r="C280">
        <f>IF(B280="top",5,IF(B280="up",4,IF(B280="tranquil",3,IF(B280="empty",2,IF(B280="down",1,0)))))</f>
      </c>
    </row>
    <row r="281" spans="1:3" x14ac:dyDescent="0.25">
      <c r="A281" s="28">
        <v>46302</v>
      </c>
      <c r="B281" t="s">
        <v>18</v>
      </c>
      <c r="C281">
        <f>IF(B281="top",5,IF(B281="up",4,IF(B281="tranquil",3,IF(B281="empty",2,IF(B281="down",1,0)))))</f>
      </c>
    </row>
    <row r="282" spans="1:3" x14ac:dyDescent="0.25">
      <c r="A282" s="28">
        <v>46303</v>
      </c>
      <c r="B282" t="s">
        <v>18</v>
      </c>
      <c r="C282">
        <f>IF(B282="top",5,IF(B282="up",4,IF(B282="tranquil",3,IF(B282="empty",2,IF(B282="down",1,0)))))</f>
      </c>
    </row>
    <row r="283" spans="1:3" x14ac:dyDescent="0.25">
      <c r="A283" s="28">
        <v>46304</v>
      </c>
      <c r="B283" t="s">
        <v>18</v>
      </c>
      <c r="C283">
        <f>IF(B283="top",5,IF(B283="up",4,IF(B283="tranquil",3,IF(B283="empty",2,IF(B283="down",1,0)))))</f>
      </c>
    </row>
    <row r="284" spans="1:3" x14ac:dyDescent="0.25">
      <c r="A284" s="28">
        <v>46305</v>
      </c>
      <c r="B284" t="s">
        <v>18</v>
      </c>
      <c r="C284">
        <f>IF(B284="top",5,IF(B284="up",4,IF(B284="tranquil",3,IF(B284="empty",2,IF(B284="down",1,0)))))</f>
      </c>
    </row>
    <row r="285" spans="1:3" x14ac:dyDescent="0.25">
      <c r="A285" s="28">
        <v>46306</v>
      </c>
      <c r="B285" t="s">
        <v>18</v>
      </c>
      <c r="C285">
        <f>IF(B285="top",5,IF(B285="up",4,IF(B285="tranquil",3,IF(B285="empty",2,IF(B285="down",1,0)))))</f>
      </c>
    </row>
    <row r="286" spans="1:3" x14ac:dyDescent="0.25">
      <c r="A286" s="28">
        <v>46307</v>
      </c>
      <c r="B286" t="s">
        <v>18</v>
      </c>
      <c r="C286">
        <f>IF(B286="top",5,IF(B286="up",4,IF(B286="tranquil",3,IF(B286="empty",2,IF(B286="down",1,0)))))</f>
      </c>
    </row>
    <row r="287" spans="1:3" x14ac:dyDescent="0.25">
      <c r="A287" s="28">
        <v>46308</v>
      </c>
      <c r="B287" t="s">
        <v>18</v>
      </c>
      <c r="C287">
        <f>IF(B287="top",5,IF(B287="up",4,IF(B287="tranquil",3,IF(B287="empty",2,IF(B287="down",1,0)))))</f>
      </c>
    </row>
    <row r="288" spans="1:3" x14ac:dyDescent="0.25">
      <c r="A288" s="28">
        <v>46309</v>
      </c>
      <c r="B288" t="s">
        <v>18</v>
      </c>
      <c r="C288">
        <f>IF(B288="top",5,IF(B288="up",4,IF(B288="tranquil",3,IF(B288="empty",2,IF(B288="down",1,0)))))</f>
      </c>
    </row>
    <row r="289" spans="1:3" x14ac:dyDescent="0.25">
      <c r="A289" s="28">
        <v>46310</v>
      </c>
      <c r="B289" t="s">
        <v>18</v>
      </c>
      <c r="C289">
        <f>IF(B289="top",5,IF(B289="up",4,IF(B289="tranquil",3,IF(B289="empty",2,IF(B289="down",1,0)))))</f>
      </c>
    </row>
    <row r="290" spans="1:3" x14ac:dyDescent="0.25">
      <c r="A290" s="28">
        <v>46311</v>
      </c>
      <c r="B290" t="s">
        <v>18</v>
      </c>
      <c r="C290">
        <f>IF(B290="top",5,IF(B290="up",4,IF(B290="tranquil",3,IF(B290="empty",2,IF(B290="down",1,0)))))</f>
      </c>
    </row>
    <row r="291" spans="1:3" x14ac:dyDescent="0.25">
      <c r="A291" s="28">
        <v>46312</v>
      </c>
      <c r="B291" t="s">
        <v>18</v>
      </c>
      <c r="C291">
        <f>IF(B291="top",5,IF(B291="up",4,IF(B291="tranquil",3,IF(B291="empty",2,IF(B291="down",1,0)))))</f>
      </c>
    </row>
    <row r="292" spans="1:3" x14ac:dyDescent="0.25">
      <c r="A292" s="28">
        <v>46313</v>
      </c>
      <c r="B292" t="s">
        <v>18</v>
      </c>
      <c r="C292">
        <f>IF(B292="top",5,IF(B292="up",4,IF(B292="tranquil",3,IF(B292="empty",2,IF(B292="down",1,0)))))</f>
      </c>
    </row>
    <row r="293" spans="1:3" x14ac:dyDescent="0.25">
      <c r="A293" s="28">
        <v>46314</v>
      </c>
      <c r="B293" t="s">
        <v>18</v>
      </c>
      <c r="C293">
        <f>IF(B293="top",5,IF(B293="up",4,IF(B293="tranquil",3,IF(B293="empty",2,IF(B293="down",1,0)))))</f>
      </c>
    </row>
    <row r="294" spans="1:3" x14ac:dyDescent="0.25">
      <c r="A294" s="28">
        <v>46315</v>
      </c>
      <c r="B294" t="s">
        <v>18</v>
      </c>
      <c r="C294">
        <f>IF(B294="top",5,IF(B294="up",4,IF(B294="tranquil",3,IF(B294="empty",2,IF(B294="down",1,0)))))</f>
      </c>
    </row>
    <row r="295" spans="1:3" x14ac:dyDescent="0.25">
      <c r="A295" s="28">
        <v>46316</v>
      </c>
      <c r="B295" t="s">
        <v>18</v>
      </c>
      <c r="C295">
        <f>IF(B295="top",5,IF(B295="up",4,IF(B295="tranquil",3,IF(B295="empty",2,IF(B295="down",1,0)))))</f>
      </c>
    </row>
    <row r="296" spans="1:3" x14ac:dyDescent="0.25">
      <c r="A296" s="28">
        <v>46317</v>
      </c>
      <c r="B296" t="s">
        <v>18</v>
      </c>
      <c r="C296">
        <f>IF(B296="top",5,IF(B296="up",4,IF(B296="tranquil",3,IF(B296="empty",2,IF(B296="down",1,0)))))</f>
      </c>
    </row>
    <row r="297" spans="1:3" x14ac:dyDescent="0.25">
      <c r="A297" s="28">
        <v>46318</v>
      </c>
      <c r="B297" t="s">
        <v>18</v>
      </c>
      <c r="C297">
        <f>IF(B297="top",5,IF(B297="up",4,IF(B297="tranquil",3,IF(B297="empty",2,IF(B297="down",1,0)))))</f>
      </c>
    </row>
    <row r="298" spans="1:3" x14ac:dyDescent="0.25">
      <c r="A298" s="28">
        <v>46319</v>
      </c>
      <c r="B298" t="s">
        <v>18</v>
      </c>
      <c r="C298">
        <f>IF(B298="top",5,IF(B298="up",4,IF(B298="tranquil",3,IF(B298="empty",2,IF(B298="down",1,0)))))</f>
      </c>
    </row>
    <row r="299" spans="1:3" x14ac:dyDescent="0.25">
      <c r="A299" s="28">
        <v>46320</v>
      </c>
      <c r="B299" t="s">
        <v>18</v>
      </c>
      <c r="C299">
        <f>IF(B299="top",5,IF(B299="up",4,IF(B299="tranquil",3,IF(B299="empty",2,IF(B299="down",1,0)))))</f>
      </c>
    </row>
    <row r="300" spans="1:3" x14ac:dyDescent="0.25">
      <c r="A300" s="28">
        <v>46321</v>
      </c>
      <c r="B300" t="s">
        <v>18</v>
      </c>
      <c r="C300">
        <f>IF(B300="top",5,IF(B300="up",4,IF(B300="tranquil",3,IF(B300="empty",2,IF(B300="down",1,0)))))</f>
      </c>
    </row>
    <row r="301" spans="1:3" x14ac:dyDescent="0.25">
      <c r="A301" s="28">
        <v>46322</v>
      </c>
      <c r="B301" t="s">
        <v>18</v>
      </c>
      <c r="C301">
        <f>IF(B301="top",5,IF(B301="up",4,IF(B301="tranquil",3,IF(B301="empty",2,IF(B301="down",1,0)))))</f>
      </c>
    </row>
    <row r="302" spans="1:3" x14ac:dyDescent="0.25">
      <c r="A302" s="28">
        <v>46323</v>
      </c>
      <c r="B302" t="s">
        <v>18</v>
      </c>
      <c r="C302">
        <f>IF(B302="top",5,IF(B302="up",4,IF(B302="tranquil",3,IF(B302="empty",2,IF(B302="down",1,0)))))</f>
      </c>
    </row>
    <row r="303" spans="1:3" x14ac:dyDescent="0.25">
      <c r="A303" s="28">
        <v>46324</v>
      </c>
      <c r="B303" t="s">
        <v>18</v>
      </c>
      <c r="C303">
        <f>IF(B303="top",5,IF(B303="up",4,IF(B303="tranquil",3,IF(B303="empty",2,IF(B303="down",1,0)))))</f>
      </c>
    </row>
    <row r="304" spans="1:3" x14ac:dyDescent="0.25">
      <c r="A304" s="28">
        <v>46325</v>
      </c>
      <c r="B304" t="s">
        <v>18</v>
      </c>
      <c r="C304">
        <f>IF(B304="top",5,IF(B304="up",4,IF(B304="tranquil",3,IF(B304="empty",2,IF(B304="down",1,0)))))</f>
      </c>
    </row>
    <row r="305" spans="1:3" x14ac:dyDescent="0.25">
      <c r="A305" s="28">
        <v>46326</v>
      </c>
      <c r="B305" t="s">
        <v>18</v>
      </c>
      <c r="C305">
        <f>IF(B305="top",5,IF(B305="up",4,IF(B305="tranquil",3,IF(B305="empty",2,IF(B305="down",1,0)))))</f>
      </c>
    </row>
    <row r="306" spans="1:3" x14ac:dyDescent="0.25">
      <c r="A306" s="28">
        <v>46327</v>
      </c>
      <c r="B306" t="s">
        <v>18</v>
      </c>
      <c r="C306">
        <f>IF(B306="top",5,IF(B306="up",4,IF(B306="tranquil",3,IF(B306="empty",2,IF(B306="down",1,0)))))</f>
      </c>
    </row>
    <row r="307" spans="1:3" x14ac:dyDescent="0.25">
      <c r="A307" s="28">
        <v>46328</v>
      </c>
      <c r="B307" t="s">
        <v>18</v>
      </c>
      <c r="C307">
        <f>IF(B307="top",5,IF(B307="up",4,IF(B307="tranquil",3,IF(B307="empty",2,IF(B307="down",1,0)))))</f>
      </c>
    </row>
    <row r="308" spans="1:3" x14ac:dyDescent="0.25">
      <c r="A308" s="28">
        <v>46329</v>
      </c>
      <c r="B308" t="s">
        <v>18</v>
      </c>
      <c r="C308">
        <f>IF(B308="top",5,IF(B308="up",4,IF(B308="tranquil",3,IF(B308="empty",2,IF(B308="down",1,0)))))</f>
      </c>
    </row>
    <row r="309" spans="1:3" x14ac:dyDescent="0.25">
      <c r="A309" s="28">
        <v>46330</v>
      </c>
      <c r="B309" t="s">
        <v>18</v>
      </c>
      <c r="C309">
        <f>IF(B309="top",5,IF(B309="up",4,IF(B309="tranquil",3,IF(B309="empty",2,IF(B309="down",1,0)))))</f>
      </c>
    </row>
    <row r="310" spans="1:3" x14ac:dyDescent="0.25">
      <c r="A310" s="28">
        <v>46331</v>
      </c>
      <c r="B310" t="s">
        <v>18</v>
      </c>
      <c r="C310">
        <f>IF(B310="top",5,IF(B310="up",4,IF(B310="tranquil",3,IF(B310="empty",2,IF(B310="down",1,0)))))</f>
      </c>
    </row>
    <row r="311" spans="1:3" x14ac:dyDescent="0.25">
      <c r="A311" s="28">
        <v>46332</v>
      </c>
      <c r="B311" t="s">
        <v>18</v>
      </c>
      <c r="C311">
        <f>IF(B311="top",5,IF(B311="up",4,IF(B311="tranquil",3,IF(B311="empty",2,IF(B311="down",1,0)))))</f>
      </c>
    </row>
    <row r="312" spans="1:3" x14ac:dyDescent="0.25">
      <c r="A312" s="28">
        <v>46333</v>
      </c>
      <c r="B312" t="s">
        <v>18</v>
      </c>
      <c r="C312">
        <f>IF(B312="top",5,IF(B312="up",4,IF(B312="tranquil",3,IF(B312="empty",2,IF(B312="down",1,0)))))</f>
      </c>
    </row>
    <row r="313" spans="1:3" x14ac:dyDescent="0.25">
      <c r="A313" s="28">
        <v>46334</v>
      </c>
      <c r="B313" t="s">
        <v>18</v>
      </c>
      <c r="C313">
        <f>IF(B313="top",5,IF(B313="up",4,IF(B313="tranquil",3,IF(B313="empty",2,IF(B313="down",1,0)))))</f>
      </c>
    </row>
    <row r="314" spans="1:3" x14ac:dyDescent="0.25">
      <c r="A314" s="28">
        <v>46335</v>
      </c>
      <c r="B314" t="s">
        <v>18</v>
      </c>
      <c r="C314">
        <f>IF(B314="top",5,IF(B314="up",4,IF(B314="tranquil",3,IF(B314="empty",2,IF(B314="down",1,0)))))</f>
      </c>
    </row>
    <row r="315" spans="1:3" x14ac:dyDescent="0.25">
      <c r="A315" s="28">
        <v>46336</v>
      </c>
      <c r="B315" t="s">
        <v>18</v>
      </c>
      <c r="C315">
        <f>IF(B315="top",5,IF(B315="up",4,IF(B315="tranquil",3,IF(B315="empty",2,IF(B315="down",1,0)))))</f>
      </c>
    </row>
    <row r="316" spans="1:3" x14ac:dyDescent="0.25">
      <c r="A316" s="28">
        <v>46337</v>
      </c>
      <c r="B316" t="s">
        <v>18</v>
      </c>
      <c r="C316">
        <f>IF(B316="top",5,IF(B316="up",4,IF(B316="tranquil",3,IF(B316="empty",2,IF(B316="down",1,0)))))</f>
      </c>
    </row>
    <row r="317" spans="1:3" x14ac:dyDescent="0.25">
      <c r="A317" s="28">
        <v>46338</v>
      </c>
      <c r="B317" t="s">
        <v>18</v>
      </c>
      <c r="C317">
        <f>IF(B317="top",5,IF(B317="up",4,IF(B317="tranquil",3,IF(B317="empty",2,IF(B317="down",1,0)))))</f>
      </c>
    </row>
    <row r="318" spans="1:3" x14ac:dyDescent="0.25">
      <c r="A318" s="28">
        <v>46339</v>
      </c>
      <c r="B318" t="s">
        <v>18</v>
      </c>
      <c r="C318">
        <f>IF(B318="top",5,IF(B318="up",4,IF(B318="tranquil",3,IF(B318="empty",2,IF(B318="down",1,0)))))</f>
      </c>
    </row>
    <row r="319" spans="1:3" x14ac:dyDescent="0.25">
      <c r="A319" s="28">
        <v>46340</v>
      </c>
      <c r="B319" t="s">
        <v>18</v>
      </c>
      <c r="C319">
        <f>IF(B319="top",5,IF(B319="up",4,IF(B319="tranquil",3,IF(B319="empty",2,IF(B319="down",1,0)))))</f>
      </c>
    </row>
    <row r="320" spans="1:3" x14ac:dyDescent="0.25">
      <c r="A320" s="28">
        <v>46341</v>
      </c>
      <c r="B320" t="s">
        <v>18</v>
      </c>
      <c r="C320">
        <f>IF(B320="top",5,IF(B320="up",4,IF(B320="tranquil",3,IF(B320="empty",2,IF(B320="down",1,0)))))</f>
      </c>
    </row>
    <row r="321" spans="1:3" x14ac:dyDescent="0.25">
      <c r="A321" s="28">
        <v>46342</v>
      </c>
      <c r="B321" t="s">
        <v>18</v>
      </c>
      <c r="C321">
        <f>IF(B321="top",5,IF(B321="up",4,IF(B321="tranquil",3,IF(B321="empty",2,IF(B321="down",1,0)))))</f>
      </c>
    </row>
    <row r="322" spans="1:3" x14ac:dyDescent="0.25">
      <c r="A322" s="28">
        <v>46343</v>
      </c>
      <c r="B322" t="s">
        <v>18</v>
      </c>
      <c r="C322">
        <f>IF(B322="top",5,IF(B322="up",4,IF(B322="tranquil",3,IF(B322="empty",2,IF(B322="down",1,0)))))</f>
      </c>
    </row>
    <row r="323" spans="1:3" x14ac:dyDescent="0.25">
      <c r="A323" s="28">
        <v>46344</v>
      </c>
      <c r="B323" t="s">
        <v>18</v>
      </c>
      <c r="C323">
        <f>IF(B323="top",5,IF(B323="up",4,IF(B323="tranquil",3,IF(B323="empty",2,IF(B323="down",1,0)))))</f>
      </c>
    </row>
    <row r="324" spans="1:3" x14ac:dyDescent="0.25">
      <c r="A324" s="28">
        <v>46345</v>
      </c>
      <c r="B324" t="s">
        <v>18</v>
      </c>
      <c r="C324">
        <f>IF(B324="top",5,IF(B324="up",4,IF(B324="tranquil",3,IF(B324="empty",2,IF(B324="down",1,0)))))</f>
      </c>
    </row>
    <row r="325" spans="1:3" x14ac:dyDescent="0.25">
      <c r="A325" s="28">
        <v>46346</v>
      </c>
      <c r="B325" t="s">
        <v>18</v>
      </c>
      <c r="C325">
        <f>IF(B325="top",5,IF(B325="up",4,IF(B325="tranquil",3,IF(B325="empty",2,IF(B325="down",1,0)))))</f>
      </c>
    </row>
    <row r="326" spans="1:3" x14ac:dyDescent="0.25">
      <c r="A326" s="28">
        <v>46347</v>
      </c>
      <c r="B326" t="s">
        <v>18</v>
      </c>
      <c r="C326">
        <f>IF(B326="top",5,IF(B326="up",4,IF(B326="tranquil",3,IF(B326="empty",2,IF(B326="down",1,0)))))</f>
      </c>
    </row>
    <row r="327" spans="1:3" x14ac:dyDescent="0.25">
      <c r="A327" s="28">
        <v>46348</v>
      </c>
      <c r="B327" t="s">
        <v>18</v>
      </c>
      <c r="C327">
        <f>IF(B327="top",5,IF(B327="up",4,IF(B327="tranquil",3,IF(B327="empty",2,IF(B327="down",1,0)))))</f>
      </c>
    </row>
    <row r="328" spans="1:3" x14ac:dyDescent="0.25">
      <c r="A328" s="28">
        <v>46349</v>
      </c>
      <c r="B328" t="s">
        <v>18</v>
      </c>
      <c r="C328">
        <f>IF(B328="top",5,IF(B328="up",4,IF(B328="tranquil",3,IF(B328="empty",2,IF(B328="down",1,0)))))</f>
      </c>
    </row>
    <row r="329" spans="1:3" x14ac:dyDescent="0.25">
      <c r="A329" s="28">
        <v>46350</v>
      </c>
      <c r="B329" t="s">
        <v>18</v>
      </c>
      <c r="C329">
        <f>IF(B329="top",5,IF(B329="up",4,IF(B329="tranquil",3,IF(B329="empty",2,IF(B329="down",1,0)))))</f>
      </c>
    </row>
    <row r="330" spans="1:3" x14ac:dyDescent="0.25">
      <c r="A330" s="28">
        <v>46351</v>
      </c>
      <c r="B330" t="s">
        <v>18</v>
      </c>
      <c r="C330">
        <f>IF(B330="top",5,IF(B330="up",4,IF(B330="tranquil",3,IF(B330="empty",2,IF(B330="down",1,0)))))</f>
      </c>
    </row>
    <row r="331" spans="1:3" x14ac:dyDescent="0.25">
      <c r="A331" s="28">
        <v>46352</v>
      </c>
      <c r="B331" t="s">
        <v>18</v>
      </c>
      <c r="C331">
        <f>IF(B331="top",5,IF(B331="up",4,IF(B331="tranquil",3,IF(B331="empty",2,IF(B331="down",1,0)))))</f>
      </c>
    </row>
    <row r="332" spans="1:3" x14ac:dyDescent="0.25">
      <c r="A332" s="28">
        <v>46353</v>
      </c>
      <c r="B332" t="s">
        <v>18</v>
      </c>
      <c r="C332">
        <f>IF(B332="top",5,IF(B332="up",4,IF(B332="tranquil",3,IF(B332="empty",2,IF(B332="down",1,0)))))</f>
      </c>
    </row>
    <row r="333" spans="1:3" x14ac:dyDescent="0.25">
      <c r="A333" s="28">
        <v>46354</v>
      </c>
      <c r="B333" t="s">
        <v>18</v>
      </c>
      <c r="C333">
        <f>IF(B333="top",5,IF(B333="up",4,IF(B333="tranquil",3,IF(B333="empty",2,IF(B333="down",1,0)))))</f>
      </c>
    </row>
    <row r="334" spans="1:3" x14ac:dyDescent="0.25">
      <c r="A334" s="28">
        <v>46355</v>
      </c>
      <c r="B334" t="s">
        <v>18</v>
      </c>
      <c r="C334">
        <f>IF(B334="top",5,IF(B334="up",4,IF(B334="tranquil",3,IF(B334="empty",2,IF(B334="down",1,0)))))</f>
      </c>
    </row>
    <row r="335" spans="1:3" x14ac:dyDescent="0.25">
      <c r="A335" s="28">
        <v>46356</v>
      </c>
      <c r="B335" t="s">
        <v>18</v>
      </c>
      <c r="C335">
        <f>IF(B335="top",5,IF(B335="up",4,IF(B335="tranquil",3,IF(B335="empty",2,IF(B335="down",1,0)))))</f>
      </c>
    </row>
    <row r="336" spans="1:3" x14ac:dyDescent="0.25">
      <c r="A336" s="28">
        <v>46357</v>
      </c>
      <c r="B336" t="s">
        <v>18</v>
      </c>
      <c r="C336">
        <f>IF(B336="top",5,IF(B336="up",4,IF(B336="tranquil",3,IF(B336="empty",2,IF(B336="down",1,0)))))</f>
      </c>
    </row>
    <row r="337" spans="1:3" x14ac:dyDescent="0.25">
      <c r="A337" s="28">
        <v>46358</v>
      </c>
      <c r="B337" t="s">
        <v>18</v>
      </c>
      <c r="C337">
        <f>IF(B337="top",5,IF(B337="up",4,IF(B337="tranquil",3,IF(B337="empty",2,IF(B337="down",1,0)))))</f>
      </c>
    </row>
    <row r="338" spans="1:3" x14ac:dyDescent="0.25">
      <c r="A338" s="28">
        <v>46359</v>
      </c>
      <c r="B338" t="s">
        <v>18</v>
      </c>
      <c r="C338">
        <f>IF(B338="top",5,IF(B338="up",4,IF(B338="tranquil",3,IF(B338="empty",2,IF(B338="down",1,0)))))</f>
      </c>
    </row>
    <row r="339" spans="1:3" x14ac:dyDescent="0.25">
      <c r="A339" s="28">
        <v>46360</v>
      </c>
      <c r="B339" t="s">
        <v>18</v>
      </c>
      <c r="C339">
        <f>IF(B339="top",5,IF(B339="up",4,IF(B339="tranquil",3,IF(B339="empty",2,IF(B339="down",1,0)))))</f>
      </c>
    </row>
    <row r="340" spans="1:3" x14ac:dyDescent="0.25">
      <c r="A340" s="28">
        <v>46361</v>
      </c>
      <c r="B340" t="s">
        <v>18</v>
      </c>
      <c r="C340">
        <f>IF(B340="top",5,IF(B340="up",4,IF(B340="tranquil",3,IF(B340="empty",2,IF(B340="down",1,0)))))</f>
      </c>
    </row>
    <row r="341" spans="1:3" x14ac:dyDescent="0.25">
      <c r="A341" s="28">
        <v>46362</v>
      </c>
      <c r="B341" t="s">
        <v>18</v>
      </c>
      <c r="C341">
        <f>IF(B341="top",5,IF(B341="up",4,IF(B341="tranquil",3,IF(B341="empty",2,IF(B341="down",1,0)))))</f>
      </c>
    </row>
    <row r="342" spans="1:3" x14ac:dyDescent="0.25">
      <c r="A342" s="28">
        <v>46363</v>
      </c>
      <c r="B342" t="s">
        <v>18</v>
      </c>
      <c r="C342">
        <f>IF(B342="top",5,IF(B342="up",4,IF(B342="tranquil",3,IF(B342="empty",2,IF(B342="down",1,0)))))</f>
      </c>
    </row>
    <row r="343" spans="1:3" x14ac:dyDescent="0.25">
      <c r="A343" s="28">
        <v>46364</v>
      </c>
      <c r="B343" t="s">
        <v>18</v>
      </c>
      <c r="C343">
        <f>IF(B343="top",5,IF(B343="up",4,IF(B343="tranquil",3,IF(B343="empty",2,IF(B343="down",1,0)))))</f>
      </c>
    </row>
    <row r="344" spans="1:3" x14ac:dyDescent="0.25">
      <c r="A344" s="28">
        <v>46365</v>
      </c>
      <c r="B344" t="s">
        <v>18</v>
      </c>
      <c r="C344">
        <f>IF(B344="top",5,IF(B344="up",4,IF(B344="tranquil",3,IF(B344="empty",2,IF(B344="down",1,0)))))</f>
      </c>
    </row>
    <row r="345" spans="1:3" x14ac:dyDescent="0.25">
      <c r="A345" s="28">
        <v>46366</v>
      </c>
      <c r="B345" t="s">
        <v>18</v>
      </c>
      <c r="C345">
        <f>IF(B345="top",5,IF(B345="up",4,IF(B345="tranquil",3,IF(B345="empty",2,IF(B345="down",1,0)))))</f>
      </c>
    </row>
    <row r="346" spans="1:3" x14ac:dyDescent="0.25">
      <c r="A346" s="28">
        <v>46367</v>
      </c>
      <c r="B346" t="s">
        <v>18</v>
      </c>
      <c r="C346">
        <f>IF(B346="top",5,IF(B346="up",4,IF(B346="tranquil",3,IF(B346="empty",2,IF(B346="down",1,0)))))</f>
      </c>
    </row>
    <row r="347" spans="1:3" x14ac:dyDescent="0.25">
      <c r="A347" s="28">
        <v>46368</v>
      </c>
      <c r="B347" t="s">
        <v>18</v>
      </c>
      <c r="C347">
        <f>IF(B347="top",5,IF(B347="up",4,IF(B347="tranquil",3,IF(B347="empty",2,IF(B347="down",1,0)))))</f>
      </c>
    </row>
    <row r="348" spans="1:3" x14ac:dyDescent="0.25">
      <c r="A348" s="28">
        <v>46369</v>
      </c>
      <c r="B348" t="s">
        <v>18</v>
      </c>
      <c r="C348">
        <f>IF(B348="top",5,IF(B348="up",4,IF(B348="tranquil",3,IF(B348="empty",2,IF(B348="down",1,0)))))</f>
      </c>
    </row>
    <row r="349" spans="1:3" x14ac:dyDescent="0.25">
      <c r="A349" s="28">
        <v>46370</v>
      </c>
      <c r="B349" t="s">
        <v>18</v>
      </c>
      <c r="C349">
        <f>IF(B349="top",5,IF(B349="up",4,IF(B349="tranquil",3,IF(B349="empty",2,IF(B349="down",1,0)))))</f>
      </c>
    </row>
    <row r="350" spans="1:3" x14ac:dyDescent="0.25">
      <c r="A350" s="28">
        <v>46371</v>
      </c>
      <c r="B350" t="s">
        <v>18</v>
      </c>
      <c r="C350">
        <f>IF(B350="top",5,IF(B350="up",4,IF(B350="tranquil",3,IF(B350="empty",2,IF(B350="down",1,0)))))</f>
      </c>
    </row>
    <row r="351" spans="1:3" x14ac:dyDescent="0.25">
      <c r="A351" s="28">
        <v>46372</v>
      </c>
      <c r="B351" t="s">
        <v>18</v>
      </c>
      <c r="C351">
        <f>IF(B351="top",5,IF(B351="up",4,IF(B351="tranquil",3,IF(B351="empty",2,IF(B351="down",1,0)))))</f>
      </c>
    </row>
    <row r="352" spans="1:3" x14ac:dyDescent="0.25">
      <c r="A352" s="28">
        <v>46373</v>
      </c>
      <c r="B352" t="s">
        <v>18</v>
      </c>
      <c r="C352">
        <f>IF(B352="top",5,IF(B352="up",4,IF(B352="tranquil",3,IF(B352="empty",2,IF(B352="down",1,0)))))</f>
      </c>
    </row>
    <row r="353" spans="1:3" x14ac:dyDescent="0.25">
      <c r="A353" s="28">
        <v>46374</v>
      </c>
      <c r="B353" t="s">
        <v>18</v>
      </c>
      <c r="C353">
        <f>IF(B353="top",5,IF(B353="up",4,IF(B353="tranquil",3,IF(B353="empty",2,IF(B353="down",1,0)))))</f>
      </c>
    </row>
    <row r="354" spans="1:3" x14ac:dyDescent="0.25">
      <c r="A354" s="28">
        <v>46375</v>
      </c>
      <c r="B354" t="s">
        <v>18</v>
      </c>
      <c r="C354">
        <f>IF(B354="top",5,IF(B354="up",4,IF(B354="tranquil",3,IF(B354="empty",2,IF(B354="down",1,0)))))</f>
      </c>
    </row>
    <row r="355" spans="1:3" x14ac:dyDescent="0.25">
      <c r="A355" s="28">
        <v>46376</v>
      </c>
      <c r="B355" t="s">
        <v>18</v>
      </c>
      <c r="C355">
        <f>IF(B355="top",5,IF(B355="up",4,IF(B355="tranquil",3,IF(B355="empty",2,IF(B355="down",1,0)))))</f>
      </c>
    </row>
    <row r="356" spans="1:3" x14ac:dyDescent="0.25">
      <c r="A356" s="28">
        <v>46377</v>
      </c>
      <c r="B356" t="s">
        <v>18</v>
      </c>
      <c r="C356">
        <f>IF(B356="top",5,IF(B356="up",4,IF(B356="tranquil",3,IF(B356="empty",2,IF(B356="down",1,0)))))</f>
      </c>
    </row>
    <row r="357" spans="1:3" x14ac:dyDescent="0.25">
      <c r="A357" s="28">
        <v>46378</v>
      </c>
      <c r="B357" t="s">
        <v>18</v>
      </c>
      <c r="C357">
        <f>IF(B357="top",5,IF(B357="up",4,IF(B357="tranquil",3,IF(B357="empty",2,IF(B357="down",1,0)))))</f>
      </c>
    </row>
    <row r="358" spans="1:3" x14ac:dyDescent="0.25">
      <c r="A358" s="28">
        <v>46379</v>
      </c>
      <c r="B358" t="s">
        <v>18</v>
      </c>
      <c r="C358">
        <f>IF(B358="top",5,IF(B358="up",4,IF(B358="tranquil",3,IF(B358="empty",2,IF(B358="down",1,0)))))</f>
      </c>
    </row>
    <row r="359" spans="1:3" x14ac:dyDescent="0.25">
      <c r="A359" s="28">
        <v>46380</v>
      </c>
      <c r="B359" t="s">
        <v>18</v>
      </c>
      <c r="C359">
        <f>IF(B359="top",5,IF(B359="up",4,IF(B359="tranquil",3,IF(B359="empty",2,IF(B359="down",1,0)))))</f>
      </c>
    </row>
    <row r="360" spans="1:3" x14ac:dyDescent="0.25">
      <c r="A360" s="28">
        <v>46381</v>
      </c>
      <c r="B360" t="s">
        <v>18</v>
      </c>
      <c r="C360">
        <f>IF(B360="top",5,IF(B360="up",4,IF(B360="tranquil",3,IF(B360="empty",2,IF(B360="down",1,0)))))</f>
      </c>
    </row>
    <row r="361" spans="1:3" x14ac:dyDescent="0.25">
      <c r="A361" s="28">
        <v>46382</v>
      </c>
      <c r="B361" t="s">
        <v>18</v>
      </c>
      <c r="C361">
        <f>IF(B361="top",5,IF(B361="up",4,IF(B361="tranquil",3,IF(B361="empty",2,IF(B361="down",1,0)))))</f>
      </c>
    </row>
    <row r="362" spans="1:3" x14ac:dyDescent="0.25">
      <c r="A362" s="28">
        <v>46383</v>
      </c>
      <c r="B362" t="s">
        <v>18</v>
      </c>
      <c r="C362">
        <f>IF(B362="top",5,IF(B362="up",4,IF(B362="tranquil",3,IF(B362="empty",2,IF(B362="down",1,0)))))</f>
      </c>
    </row>
    <row r="363" spans="1:3" x14ac:dyDescent="0.25">
      <c r="A363" s="28">
        <v>46384</v>
      </c>
      <c r="B363" t="s">
        <v>18</v>
      </c>
      <c r="C363">
        <f>IF(B363="top",5,IF(B363="up",4,IF(B363="tranquil",3,IF(B363="empty",2,IF(B363="down",1,0)))))</f>
      </c>
    </row>
    <row r="364" spans="1:3" x14ac:dyDescent="0.25">
      <c r="A364" s="28">
        <v>46385</v>
      </c>
      <c r="B364" t="s">
        <v>18</v>
      </c>
      <c r="C364">
        <f>IF(B364="top",5,IF(B364="up",4,IF(B364="tranquil",3,IF(B364="empty",2,IF(B364="down",1,0)))))</f>
      </c>
    </row>
    <row r="365" spans="1:3" x14ac:dyDescent="0.25">
      <c r="A365" s="28">
        <v>46386</v>
      </c>
      <c r="B365" t="s">
        <v>18</v>
      </c>
      <c r="C365">
        <f>IF(B365="top",5,IF(B365="up",4,IF(B365="tranquil",3,IF(B365="empty",2,IF(B365="down",1,0)))))</f>
      </c>
    </row>
    <row r="366" spans="1:3" x14ac:dyDescent="0.25">
      <c r="A366" s="28">
        <v>46387</v>
      </c>
      <c r="B366" t="s">
        <v>18</v>
      </c>
      <c r="C366">
        <f>IF(B366="top",5,IF(B366="up",4,IF(B366="tranquil",3,IF(B366="empty",2,IF(B366="down",1,0)))))</f>
      </c>
    </row>
  </sheetData>
  <dataValidations count="2">
    <dataValidation type="list" allowBlank="1" sqref="B10:B366">
      <formula1>"top,up,tranquil,empty,down"</formula1>
    </dataValidation>
    <dataValidation type="list" allowBlank="1" sqref="B2:B366">
      <formula1>"top,up,tranquil,empty,down"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 outlineLevelRow="0" outlineLevelCol="0" x14ac:dyDescent="55"/>
  <cols>
    <col min="1" max="8" width="12" customWidth="1"/>
  </cols>
  <sheetData>
    <row r="1" spans="1:5" x14ac:dyDescent="0.25">
      <c r="A1" s="29" t="s">
        <v>49</v>
      </c>
      <c r="B1" s="29"/>
      <c r="C1" s="29"/>
      <c r="D1" s="29"/>
      <c r="E1" s="29"/>
    </row>
    <row r="3" spans="1:8" x14ac:dyDescent="0.25">
      <c r="A3" s="30" t="s">
        <v>50</v>
      </c>
      <c r="B3" s="30" t="s">
        <v>51</v>
      </c>
      <c r="C3" s="30" t="s">
        <v>52</v>
      </c>
      <c r="D3" s="30" t="s">
        <v>53</v>
      </c>
      <c r="E3" s="30" t="s">
        <v>54</v>
      </c>
      <c r="F3" s="30" t="s">
        <v>55</v>
      </c>
      <c r="G3" s="30" t="s">
        <v>56</v>
      </c>
      <c r="H3" s="30" t="s">
        <v>57</v>
      </c>
    </row>
    <row r="4" spans="1:8" x14ac:dyDescent="0.25">
      <c r="A4" t="s">
        <v>58</v>
      </c>
      <c r="B4" s="31">
        <f>COUNTIF('Mood Data'!B2:B32,"top")</f>
      </c>
      <c r="C4" s="31">
        <f>COUNTIF('Mood Data'!B2:B32,"up")</f>
      </c>
      <c r="D4" s="31">
        <f>COUNTIF('Mood Data'!B2:B32,"tranquil")</f>
      </c>
      <c r="E4" s="31">
        <f>COUNTIF('Mood Data'!B2:B32,"empty")</f>
      </c>
      <c r="F4" s="31">
        <f>COUNTIF('Mood Data'!B2:B32,"down")</f>
      </c>
      <c r="G4" s="31">
        <v>31</v>
      </c>
      <c r="H4" s="32">
        <f>AVERAGE('Mood Data'!C2:C32)</f>
      </c>
    </row>
    <row r="5" spans="1:8" x14ac:dyDescent="0.25">
      <c r="A5" t="s">
        <v>59</v>
      </c>
      <c r="B5" s="31">
        <f>COUNTIF('Mood Data'!B33:B60,"top")</f>
      </c>
      <c r="C5" s="31">
        <f>COUNTIF('Mood Data'!B33:B60,"up")</f>
      </c>
      <c r="D5" s="31">
        <f>COUNTIF('Mood Data'!B33:B60,"tranquil")</f>
      </c>
      <c r="E5" s="31">
        <f>COUNTIF('Mood Data'!B33:B60,"empty")</f>
      </c>
      <c r="F5" s="31">
        <f>COUNTIF('Mood Data'!B33:B60,"down")</f>
      </c>
      <c r="G5" s="31">
        <v>28</v>
      </c>
      <c r="H5" s="32">
        <f>AVERAGE('Mood Data'!C33:C60)</f>
      </c>
    </row>
    <row r="6" spans="1:8" x14ac:dyDescent="0.25">
      <c r="A6" t="s">
        <v>60</v>
      </c>
      <c r="B6" s="31">
        <f>COUNTIF('Mood Data'!B61:B91,"top")</f>
      </c>
      <c r="C6" s="31">
        <f>COUNTIF('Mood Data'!B61:B91,"up")</f>
      </c>
      <c r="D6" s="31">
        <f>COUNTIF('Mood Data'!B61:B91,"tranquil")</f>
      </c>
      <c r="E6" s="31">
        <f>COUNTIF('Mood Data'!B61:B91,"empty")</f>
      </c>
      <c r="F6" s="31">
        <f>COUNTIF('Mood Data'!B61:B91,"down")</f>
      </c>
      <c r="G6" s="31">
        <v>31</v>
      </c>
      <c r="H6" s="32">
        <f>AVERAGE('Mood Data'!C61:C91)</f>
      </c>
    </row>
    <row r="7" spans="1:8" x14ac:dyDescent="0.25">
      <c r="A7" t="s">
        <v>61</v>
      </c>
      <c r="B7" s="31">
        <f>COUNTIF('Mood Data'!B92:B121,"top")</f>
      </c>
      <c r="C7" s="31">
        <f>COUNTIF('Mood Data'!B92:B121,"up")</f>
      </c>
      <c r="D7" s="31">
        <f>COUNTIF('Mood Data'!B92:B121,"tranquil")</f>
      </c>
      <c r="E7" s="31">
        <f>COUNTIF('Mood Data'!B92:B121,"empty")</f>
      </c>
      <c r="F7" s="31">
        <f>COUNTIF('Mood Data'!B92:B121,"down")</f>
      </c>
      <c r="G7" s="31">
        <v>30</v>
      </c>
      <c r="H7" s="32">
        <f>AVERAGE('Mood Data'!C92:C121)</f>
      </c>
    </row>
    <row r="8" spans="1:8" x14ac:dyDescent="0.25">
      <c r="A8" t="s">
        <v>38</v>
      </c>
      <c r="B8" s="31">
        <f>COUNTIF('Mood Data'!B122:B152,"top")</f>
      </c>
      <c r="C8" s="31">
        <f>COUNTIF('Mood Data'!B122:B152,"up")</f>
      </c>
      <c r="D8" s="31">
        <f>COUNTIF('Mood Data'!B122:B152,"tranquil")</f>
      </c>
      <c r="E8" s="31">
        <f>COUNTIF('Mood Data'!B122:B152,"empty")</f>
      </c>
      <c r="F8" s="31">
        <f>COUNTIF('Mood Data'!B122:B152,"down")</f>
      </c>
      <c r="G8" s="31">
        <v>31</v>
      </c>
      <c r="H8" s="32">
        <f>AVERAGE('Mood Data'!C122:C152)</f>
      </c>
    </row>
    <row r="9" spans="1:8" x14ac:dyDescent="0.25">
      <c r="A9" t="s">
        <v>62</v>
      </c>
      <c r="B9" s="31">
        <f>COUNTIF('Mood Data'!B153:B182,"top")</f>
      </c>
      <c r="C9" s="31">
        <f>COUNTIF('Mood Data'!B153:B182,"up")</f>
      </c>
      <c r="D9" s="31">
        <f>COUNTIF('Mood Data'!B153:B182,"tranquil")</f>
      </c>
      <c r="E9" s="31">
        <f>COUNTIF('Mood Data'!B153:B182,"empty")</f>
      </c>
      <c r="F9" s="31">
        <f>COUNTIF('Mood Data'!B153:B182,"down")</f>
      </c>
      <c r="G9" s="31">
        <v>30</v>
      </c>
      <c r="H9" s="32">
        <f>AVERAGE('Mood Data'!C153:C182)</f>
      </c>
    </row>
    <row r="10" spans="1:8" x14ac:dyDescent="0.25">
      <c r="A10" t="s">
        <v>63</v>
      </c>
      <c r="B10" s="31">
        <f>COUNTIF('Mood Data'!B183:B213,"top")</f>
      </c>
      <c r="C10" s="31">
        <f>COUNTIF('Mood Data'!B183:B213,"up")</f>
      </c>
      <c r="D10" s="31">
        <f>COUNTIF('Mood Data'!B183:B213,"tranquil")</f>
      </c>
      <c r="E10" s="31">
        <f>COUNTIF('Mood Data'!B183:B213,"empty")</f>
      </c>
      <c r="F10" s="31">
        <f>COUNTIF('Mood Data'!B183:B213,"down")</f>
      </c>
      <c r="G10" s="31">
        <v>31</v>
      </c>
      <c r="H10" s="32">
        <f>AVERAGE('Mood Data'!C183:C213)</f>
      </c>
    </row>
    <row r="11" spans="1:8" x14ac:dyDescent="0.25">
      <c r="A11" t="s">
        <v>64</v>
      </c>
      <c r="B11" s="31">
        <f>COUNTIF('Mood Data'!B214:B244,"top")</f>
      </c>
      <c r="C11" s="31">
        <f>COUNTIF('Mood Data'!B214:B244,"up")</f>
      </c>
      <c r="D11" s="31">
        <f>COUNTIF('Mood Data'!B214:B244,"tranquil")</f>
      </c>
      <c r="E11" s="31">
        <f>COUNTIF('Mood Data'!B214:B244,"empty")</f>
      </c>
      <c r="F11" s="31">
        <f>COUNTIF('Mood Data'!B214:B244,"down")</f>
      </c>
      <c r="G11" s="31">
        <v>31</v>
      </c>
      <c r="H11" s="32">
        <f>AVERAGE('Mood Data'!C214:C244)</f>
      </c>
    </row>
    <row r="12" spans="1:8" x14ac:dyDescent="0.25">
      <c r="A12" t="s">
        <v>65</v>
      </c>
      <c r="B12" s="31">
        <f>COUNTIF('Mood Data'!B245:B274,"top")</f>
      </c>
      <c r="C12" s="31">
        <f>COUNTIF('Mood Data'!B245:B274,"up")</f>
      </c>
      <c r="D12" s="31">
        <f>COUNTIF('Mood Data'!B245:B274,"tranquil")</f>
      </c>
      <c r="E12" s="31">
        <f>COUNTIF('Mood Data'!B245:B274,"empty")</f>
      </c>
      <c r="F12" s="31">
        <f>COUNTIF('Mood Data'!B245:B274,"down")</f>
      </c>
      <c r="G12" s="31">
        <v>30</v>
      </c>
      <c r="H12" s="32">
        <f>AVERAGE('Mood Data'!C245:C274)</f>
      </c>
    </row>
    <row r="13" spans="1:8" x14ac:dyDescent="0.25">
      <c r="A13" t="s">
        <v>66</v>
      </c>
      <c r="B13" s="31">
        <f>COUNTIF('Mood Data'!B275:B305,"top")</f>
      </c>
      <c r="C13" s="31">
        <f>COUNTIF('Mood Data'!B275:B305,"up")</f>
      </c>
      <c r="D13" s="31">
        <f>COUNTIF('Mood Data'!B275:B305,"tranquil")</f>
      </c>
      <c r="E13" s="31">
        <f>COUNTIF('Mood Data'!B275:B305,"empty")</f>
      </c>
      <c r="F13" s="31">
        <f>COUNTIF('Mood Data'!B275:B305,"down")</f>
      </c>
      <c r="G13" s="31">
        <v>31</v>
      </c>
      <c r="H13" s="32">
        <f>AVERAGE('Mood Data'!C275:C305)</f>
      </c>
    </row>
    <row r="14" spans="1:8" x14ac:dyDescent="0.25">
      <c r="A14" t="s">
        <v>67</v>
      </c>
      <c r="B14" s="31">
        <f>COUNTIF('Mood Data'!B306:B335,"top")</f>
      </c>
      <c r="C14" s="31">
        <f>COUNTIF('Mood Data'!B306:B335,"up")</f>
      </c>
      <c r="D14" s="31">
        <f>COUNTIF('Mood Data'!B306:B335,"tranquil")</f>
      </c>
      <c r="E14" s="31">
        <f>COUNTIF('Mood Data'!B306:B335,"empty")</f>
      </c>
      <c r="F14" s="31">
        <f>COUNTIF('Mood Data'!B306:B335,"down")</f>
      </c>
      <c r="G14" s="31">
        <v>30</v>
      </c>
      <c r="H14" s="32">
        <f>AVERAGE('Mood Data'!C306:C335)</f>
      </c>
    </row>
    <row r="15" spans="1:8" x14ac:dyDescent="0.25">
      <c r="A15" t="s">
        <v>68</v>
      </c>
      <c r="B15" s="31">
        <f>COUNTIF('Mood Data'!B336:B366,"top")</f>
      </c>
      <c r="C15" s="31">
        <f>COUNTIF('Mood Data'!B336:B366,"up")</f>
      </c>
      <c r="D15" s="31">
        <f>COUNTIF('Mood Data'!B336:B366,"tranquil")</f>
      </c>
      <c r="E15" s="31">
        <f>COUNTIF('Mood Data'!B336:B366,"empty")</f>
      </c>
      <c r="F15" s="31">
        <f>COUNTIF('Mood Data'!B336:B366,"down")</f>
      </c>
      <c r="G15" s="31">
        <v>31</v>
      </c>
      <c r="H15" s="32">
        <f>AVERAGE('Mood Data'!C336:C366)</f>
      </c>
    </row>
    <row r="16" spans="1:8" x14ac:dyDescent="0.25">
      <c r="A16" s="33" t="s">
        <v>69</v>
      </c>
      <c r="B16">
        <f>SUM(B4:B15)</f>
      </c>
      <c r="C16">
        <f>SUM(C4:C15)</f>
      </c>
      <c r="D16">
        <f>SUM(D4:D15)</f>
      </c>
      <c r="E16">
        <f>SUM(E4:E15)</f>
      </c>
      <c r="F16">
        <f>SUM(F4:F15)</f>
      </c>
      <c r="G16">
        <f>SUM(G4:G15)</f>
      </c>
      <c r="H16" s="34">
        <f>AVERAGE(H4:H15)</f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 showGridLines="0"/>
  </sheetViews>
  <sheetFormatPr defaultRowHeight="15" outlineLevelRow="0" outlineLevelCol="0" x14ac:dyDescent="55"/>
  <cols>
    <col min="1" max="1" width="50" customWidth="1"/>
  </cols>
  <sheetData>
    <row r="1" spans="1:5" x14ac:dyDescent="0.25">
      <c r="A1" s="29" t="s">
        <v>70</v>
      </c>
      <c r="B1" s="29"/>
      <c r="C1" s="29"/>
      <c r="D1" s="29"/>
      <c r="E1" s="29"/>
    </row>
    <row r="3" spans="1:1" x14ac:dyDescent="0.25">
      <c r="A3" t="s">
        <v>15</v>
      </c>
    </row>
    <row r="4" spans="1:1" x14ac:dyDescent="0.25">
      <c r="A4" s="6" t="s">
        <v>71</v>
      </c>
    </row>
    <row r="5" spans="1:1" x14ac:dyDescent="0.25">
      <c r="A5" t="s">
        <v>72</v>
      </c>
    </row>
    <row r="6" spans="1:1" x14ac:dyDescent="0.25">
      <c r="A6" s="6" t="s">
        <v>73</v>
      </c>
    </row>
    <row r="7" spans="1:1" x14ac:dyDescent="0.25">
      <c r="A7" t="s">
        <v>74</v>
      </c>
    </row>
    <row r="8" spans="1:1" x14ac:dyDescent="0.25">
      <c r="A8" t="s">
        <v>75</v>
      </c>
    </row>
    <row r="9" spans="1:1" x14ac:dyDescent="0.25">
      <c r="A9" t="s">
        <v>15</v>
      </c>
    </row>
    <row r="10" spans="1:1" x14ac:dyDescent="0.25">
      <c r="A10" s="6" t="s">
        <v>76</v>
      </c>
    </row>
    <row r="11" spans="1:1" x14ac:dyDescent="0.25">
      <c r="A11" t="s">
        <v>77</v>
      </c>
    </row>
    <row r="12" spans="1:1" x14ac:dyDescent="0.25">
      <c r="A12" t="s">
        <v>78</v>
      </c>
    </row>
    <row r="13" spans="1:1" x14ac:dyDescent="0.25">
      <c r="A13" t="s">
        <v>79</v>
      </c>
    </row>
    <row r="14" spans="1:1" x14ac:dyDescent="0.25">
      <c r="A14" t="s">
        <v>80</v>
      </c>
    </row>
    <row r="15" spans="1:1" x14ac:dyDescent="0.25">
      <c r="A15" t="s">
        <v>81</v>
      </c>
    </row>
    <row r="16" spans="1:1" x14ac:dyDescent="0.25">
      <c r="A16" t="s">
        <v>15</v>
      </c>
    </row>
    <row r="17" spans="1:1" x14ac:dyDescent="0.25">
      <c r="A17" s="6" t="s">
        <v>82</v>
      </c>
    </row>
    <row r="18" spans="1:1" x14ac:dyDescent="0.25">
      <c r="A18" t="s">
        <v>83</v>
      </c>
    </row>
    <row r="19" spans="1:1" x14ac:dyDescent="0.25">
      <c r="A19" t="s">
        <v>84</v>
      </c>
    </row>
    <row r="20" spans="1:1" x14ac:dyDescent="0.25">
      <c r="A20" t="s">
        <v>85</v>
      </c>
    </row>
    <row r="21" spans="1:1" x14ac:dyDescent="0.25">
      <c r="A21" t="s">
        <v>86</v>
      </c>
    </row>
    <row r="22" spans="1:1" x14ac:dyDescent="0.25">
      <c r="A22" t="s">
        <v>87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 Mood</vt:lpstr>
      <vt:lpstr>Mood Data</vt:lpstr>
      <vt:lpstr>Summary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Mood Tracker</dc:creator>
  <dc:title/>
  <dc:subject/>
  <dc:description/>
  <cp:keywords/>
  <cp:category/>
  <cp:lastModifiedBy>Unknown</cp:lastModifiedBy>
  <dcterms:created xsi:type="dcterms:W3CDTF">2026-01-03T02:44:13Z</dcterms:created>
  <dcterms:modified xsi:type="dcterms:W3CDTF">2026-01-03T02:44:13Z</dcterms:modified>
</cp:coreProperties>
</file>